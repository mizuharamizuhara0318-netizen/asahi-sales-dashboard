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zuh\OneDrive\デスクトップ\"/>
    </mc:Choice>
  </mc:AlternateContent>
  <xr:revisionPtr revIDLastSave="0" documentId="13_ncr:1_{488B35E1-F5CD-4B69-969A-7A309F145B24}" xr6:coauthVersionLast="47" xr6:coauthVersionMax="47" xr10:uidLastSave="{00000000-0000-0000-0000-000000000000}"/>
  <bookViews>
    <workbookView xWindow="7095" yWindow="1680" windowWidth="2160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7" i="1" l="1"/>
  <c r="N97" i="1"/>
  <c r="M97" i="1"/>
  <c r="L97" i="1"/>
  <c r="K97" i="1"/>
  <c r="J97" i="1"/>
  <c r="H97" i="1"/>
  <c r="G97" i="1"/>
  <c r="F97" i="1"/>
  <c r="E97" i="1"/>
  <c r="D97" i="1"/>
  <c r="C97" i="1"/>
  <c r="O96" i="1"/>
  <c r="N96" i="1"/>
  <c r="M96" i="1"/>
  <c r="L96" i="1"/>
  <c r="K96" i="1"/>
  <c r="J96" i="1"/>
  <c r="H96" i="1"/>
  <c r="G96" i="1"/>
  <c r="F96" i="1"/>
  <c r="E96" i="1"/>
  <c r="D96" i="1"/>
  <c r="C96" i="1"/>
  <c r="P95" i="1"/>
  <c r="P97" i="1" s="1"/>
  <c r="I95" i="1"/>
  <c r="I97" i="1" s="1"/>
  <c r="Q94" i="1"/>
  <c r="P94" i="1"/>
  <c r="I94" i="1"/>
  <c r="Q93" i="1"/>
  <c r="P93" i="1"/>
  <c r="I93" i="1"/>
  <c r="Q92" i="1"/>
  <c r="P92" i="1"/>
  <c r="I92" i="1"/>
  <c r="P91" i="1"/>
  <c r="O91" i="1"/>
  <c r="N91" i="1"/>
  <c r="M91" i="1"/>
  <c r="L91" i="1"/>
  <c r="K91" i="1"/>
  <c r="J91" i="1"/>
  <c r="H91" i="1"/>
  <c r="G91" i="1"/>
  <c r="F91" i="1"/>
  <c r="E91" i="1"/>
  <c r="D91" i="1"/>
  <c r="C91" i="1"/>
  <c r="O90" i="1"/>
  <c r="N90" i="1"/>
  <c r="M90" i="1"/>
  <c r="L90" i="1"/>
  <c r="K90" i="1"/>
  <c r="J90" i="1"/>
  <c r="H90" i="1"/>
  <c r="G90" i="1"/>
  <c r="F90" i="1"/>
  <c r="E90" i="1"/>
  <c r="D90" i="1"/>
  <c r="C90" i="1"/>
  <c r="P89" i="1"/>
  <c r="Q89" i="1" s="1"/>
  <c r="I89" i="1"/>
  <c r="I91" i="1" s="1"/>
  <c r="Q88" i="1"/>
  <c r="P88" i="1"/>
  <c r="I88" i="1"/>
  <c r="P87" i="1"/>
  <c r="P90" i="1" s="1"/>
  <c r="I87" i="1"/>
  <c r="Q87" i="1" s="1"/>
  <c r="Q86" i="1"/>
  <c r="P86" i="1"/>
  <c r="I86" i="1"/>
  <c r="O81" i="1"/>
  <c r="O37" i="1" s="1"/>
  <c r="N81" i="1"/>
  <c r="N37" i="1" s="1"/>
  <c r="M81" i="1"/>
  <c r="M37" i="1" s="1"/>
  <c r="L81" i="1"/>
  <c r="E81" i="1"/>
  <c r="E37" i="1" s="1"/>
  <c r="D81" i="1"/>
  <c r="D37" i="1" s="1"/>
  <c r="C81" i="1"/>
  <c r="C37" i="1" s="1"/>
  <c r="O80" i="1"/>
  <c r="H80" i="1"/>
  <c r="G80" i="1"/>
  <c r="F80" i="1"/>
  <c r="E80" i="1"/>
  <c r="D80" i="1"/>
  <c r="C80" i="1"/>
  <c r="I80" i="1" s="1"/>
  <c r="K79" i="1"/>
  <c r="J79" i="1"/>
  <c r="H79" i="1"/>
  <c r="G79" i="1"/>
  <c r="F79" i="1"/>
  <c r="N78" i="1"/>
  <c r="M78" i="1"/>
  <c r="L78" i="1"/>
  <c r="K78" i="1"/>
  <c r="J78" i="1"/>
  <c r="P78" i="1" s="1"/>
  <c r="O74" i="1"/>
  <c r="N74" i="1"/>
  <c r="M74" i="1"/>
  <c r="L74" i="1"/>
  <c r="L37" i="1" s="1"/>
  <c r="K74" i="1"/>
  <c r="K81" i="1" s="1"/>
  <c r="J74" i="1"/>
  <c r="J81" i="1" s="1"/>
  <c r="P81" i="1" s="1"/>
  <c r="H74" i="1"/>
  <c r="I74" i="1" s="1"/>
  <c r="G74" i="1"/>
  <c r="G81" i="1" s="1"/>
  <c r="G37" i="1" s="1"/>
  <c r="F74" i="1"/>
  <c r="F81" i="1" s="1"/>
  <c r="F37" i="1" s="1"/>
  <c r="E74" i="1"/>
  <c r="D74" i="1"/>
  <c r="C74" i="1"/>
  <c r="O73" i="1"/>
  <c r="N73" i="1"/>
  <c r="N80" i="1" s="1"/>
  <c r="M73" i="1"/>
  <c r="M80" i="1" s="1"/>
  <c r="L73" i="1"/>
  <c r="L80" i="1" s="1"/>
  <c r="K73" i="1"/>
  <c r="K80" i="1" s="1"/>
  <c r="J73" i="1"/>
  <c r="J80" i="1" s="1"/>
  <c r="I73" i="1"/>
  <c r="H73" i="1"/>
  <c r="G73" i="1"/>
  <c r="F73" i="1"/>
  <c r="E73" i="1"/>
  <c r="D73" i="1"/>
  <c r="C73" i="1"/>
  <c r="O72" i="1"/>
  <c r="N72" i="1"/>
  <c r="P72" i="1" s="1"/>
  <c r="M72" i="1"/>
  <c r="L72" i="1"/>
  <c r="K72" i="1"/>
  <c r="J72" i="1"/>
  <c r="H72" i="1"/>
  <c r="G72" i="1"/>
  <c r="F72" i="1"/>
  <c r="E72" i="1"/>
  <c r="D72" i="1"/>
  <c r="C72" i="1"/>
  <c r="I72" i="1" s="1"/>
  <c r="Q72" i="1" s="1"/>
  <c r="P71" i="1"/>
  <c r="O71" i="1"/>
  <c r="N71" i="1"/>
  <c r="M71" i="1"/>
  <c r="L71" i="1"/>
  <c r="K71" i="1"/>
  <c r="J71" i="1"/>
  <c r="H71" i="1"/>
  <c r="G71" i="1"/>
  <c r="F71" i="1"/>
  <c r="E71" i="1"/>
  <c r="D71" i="1"/>
  <c r="C71" i="1"/>
  <c r="I71" i="1" s="1"/>
  <c r="Q71" i="1" s="1"/>
  <c r="O70" i="1"/>
  <c r="N70" i="1"/>
  <c r="M70" i="1"/>
  <c r="L70" i="1"/>
  <c r="K70" i="1"/>
  <c r="J70" i="1"/>
  <c r="H70" i="1"/>
  <c r="G70" i="1"/>
  <c r="F70" i="1"/>
  <c r="E70" i="1"/>
  <c r="D70" i="1"/>
  <c r="C70" i="1"/>
  <c r="O69" i="1"/>
  <c r="N69" i="1"/>
  <c r="M69" i="1"/>
  <c r="L69" i="1"/>
  <c r="K69" i="1"/>
  <c r="J69" i="1"/>
  <c r="H69" i="1"/>
  <c r="G69" i="1"/>
  <c r="F69" i="1"/>
  <c r="E69" i="1"/>
  <c r="D69" i="1"/>
  <c r="C69" i="1"/>
  <c r="P68" i="1"/>
  <c r="P70" i="1" s="1"/>
  <c r="I68" i="1"/>
  <c r="I70" i="1" s="1"/>
  <c r="Q67" i="1"/>
  <c r="P67" i="1"/>
  <c r="I67" i="1"/>
  <c r="P66" i="1"/>
  <c r="Q66" i="1" s="1"/>
  <c r="I66" i="1"/>
  <c r="P65" i="1"/>
  <c r="I65" i="1"/>
  <c r="Q65" i="1" s="1"/>
  <c r="P64" i="1"/>
  <c r="O64" i="1"/>
  <c r="N64" i="1"/>
  <c r="M64" i="1"/>
  <c r="L64" i="1"/>
  <c r="K64" i="1"/>
  <c r="J64" i="1"/>
  <c r="H64" i="1"/>
  <c r="G64" i="1"/>
  <c r="F64" i="1"/>
  <c r="E64" i="1"/>
  <c r="D64" i="1"/>
  <c r="C64" i="1"/>
  <c r="P63" i="1"/>
  <c r="O63" i="1"/>
  <c r="N63" i="1"/>
  <c r="M63" i="1"/>
  <c r="L63" i="1"/>
  <c r="K63" i="1"/>
  <c r="J63" i="1"/>
  <c r="H63" i="1"/>
  <c r="G63" i="1"/>
  <c r="F63" i="1"/>
  <c r="E63" i="1"/>
  <c r="D63" i="1"/>
  <c r="C63" i="1"/>
  <c r="P62" i="1"/>
  <c r="Q62" i="1" s="1"/>
  <c r="I62" i="1"/>
  <c r="I64" i="1" s="1"/>
  <c r="P61" i="1"/>
  <c r="I61" i="1"/>
  <c r="Q61" i="1" s="1"/>
  <c r="P60" i="1"/>
  <c r="I60" i="1"/>
  <c r="Q60" i="1" s="1"/>
  <c r="Q59" i="1"/>
  <c r="P59" i="1"/>
  <c r="I59" i="1"/>
  <c r="O58" i="1"/>
  <c r="N58" i="1"/>
  <c r="M58" i="1"/>
  <c r="L58" i="1"/>
  <c r="K58" i="1"/>
  <c r="J58" i="1"/>
  <c r="H58" i="1"/>
  <c r="G58" i="1"/>
  <c r="F58" i="1"/>
  <c r="E58" i="1"/>
  <c r="D58" i="1"/>
  <c r="C58" i="1"/>
  <c r="O57" i="1"/>
  <c r="N57" i="1"/>
  <c r="N82" i="1" s="1"/>
  <c r="M57" i="1"/>
  <c r="M82" i="1" s="1"/>
  <c r="L57" i="1"/>
  <c r="L82" i="1" s="1"/>
  <c r="K57" i="1"/>
  <c r="J57" i="1"/>
  <c r="H57" i="1"/>
  <c r="G57" i="1"/>
  <c r="F57" i="1"/>
  <c r="E57" i="1"/>
  <c r="D57" i="1"/>
  <c r="C57" i="1"/>
  <c r="P56" i="1"/>
  <c r="P58" i="1" s="1"/>
  <c r="I56" i="1"/>
  <c r="Q56" i="1" s="1"/>
  <c r="Q55" i="1"/>
  <c r="P55" i="1"/>
  <c r="I55" i="1"/>
  <c r="P54" i="1"/>
  <c r="Q54" i="1" s="1"/>
  <c r="I54" i="1"/>
  <c r="P53" i="1"/>
  <c r="I53" i="1"/>
  <c r="Q53" i="1" s="1"/>
  <c r="P52" i="1"/>
  <c r="O52" i="1"/>
  <c r="N52" i="1"/>
  <c r="M52" i="1"/>
  <c r="L52" i="1"/>
  <c r="K52" i="1"/>
  <c r="J52" i="1"/>
  <c r="H52" i="1"/>
  <c r="G52" i="1"/>
  <c r="F52" i="1"/>
  <c r="E52" i="1"/>
  <c r="D52" i="1"/>
  <c r="C52" i="1"/>
  <c r="P51" i="1"/>
  <c r="O51" i="1"/>
  <c r="N51" i="1"/>
  <c r="M51" i="1"/>
  <c r="L51" i="1"/>
  <c r="K51" i="1"/>
  <c r="J51" i="1"/>
  <c r="H51" i="1"/>
  <c r="G51" i="1"/>
  <c r="G82" i="1" s="1"/>
  <c r="F51" i="1"/>
  <c r="F82" i="1" s="1"/>
  <c r="E51" i="1"/>
  <c r="E75" i="1" s="1"/>
  <c r="D51" i="1"/>
  <c r="D82" i="1" s="1"/>
  <c r="C51" i="1"/>
  <c r="C82" i="1" s="1"/>
  <c r="P50" i="1"/>
  <c r="Q50" i="1" s="1"/>
  <c r="I50" i="1"/>
  <c r="I52" i="1" s="1"/>
  <c r="P49" i="1"/>
  <c r="I49" i="1"/>
  <c r="Q49" i="1" s="1"/>
  <c r="P48" i="1"/>
  <c r="I48" i="1"/>
  <c r="Q48" i="1" s="1"/>
  <c r="Q47" i="1"/>
  <c r="P47" i="1"/>
  <c r="O46" i="1"/>
  <c r="N46" i="1"/>
  <c r="M46" i="1"/>
  <c r="L46" i="1"/>
  <c r="K46" i="1"/>
  <c r="J46" i="1"/>
  <c r="H46" i="1"/>
  <c r="G46" i="1"/>
  <c r="F46" i="1"/>
  <c r="E46" i="1"/>
  <c r="D46" i="1"/>
  <c r="C46" i="1"/>
  <c r="O45" i="1"/>
  <c r="N45" i="1"/>
  <c r="N75" i="1" s="1"/>
  <c r="M45" i="1"/>
  <c r="M75" i="1" s="1"/>
  <c r="L45" i="1"/>
  <c r="L75" i="1" s="1"/>
  <c r="K45" i="1"/>
  <c r="K75" i="1" s="1"/>
  <c r="J45" i="1"/>
  <c r="J75" i="1" s="1"/>
  <c r="I45" i="1"/>
  <c r="H45" i="1"/>
  <c r="G45" i="1"/>
  <c r="F45" i="1"/>
  <c r="E45" i="1"/>
  <c r="D45" i="1"/>
  <c r="C45" i="1"/>
  <c r="P44" i="1"/>
  <c r="P46" i="1" s="1"/>
  <c r="I44" i="1"/>
  <c r="Q44" i="1" s="1"/>
  <c r="P43" i="1"/>
  <c r="Q43" i="1" s="1"/>
  <c r="I43" i="1"/>
  <c r="I46" i="1" s="1"/>
  <c r="Q42" i="1"/>
  <c r="P42" i="1"/>
  <c r="I42" i="1"/>
  <c r="Q41" i="1"/>
  <c r="P41" i="1"/>
  <c r="I41" i="1"/>
  <c r="O36" i="1"/>
  <c r="N36" i="1"/>
  <c r="M36" i="1"/>
  <c r="L36" i="1"/>
  <c r="K36" i="1"/>
  <c r="J36" i="1"/>
  <c r="P36" i="1" s="1"/>
  <c r="I36" i="1"/>
  <c r="Q36" i="1" s="1"/>
  <c r="H36" i="1"/>
  <c r="G36" i="1"/>
  <c r="F36" i="1"/>
  <c r="E36" i="1"/>
  <c r="D36" i="1"/>
  <c r="C36" i="1"/>
  <c r="O35" i="1"/>
  <c r="O79" i="1" s="1"/>
  <c r="N35" i="1"/>
  <c r="N79" i="1" s="1"/>
  <c r="M35" i="1"/>
  <c r="M79" i="1" s="1"/>
  <c r="L35" i="1"/>
  <c r="P35" i="1" s="1"/>
  <c r="K35" i="1"/>
  <c r="J35" i="1"/>
  <c r="H35" i="1"/>
  <c r="G35" i="1"/>
  <c r="F35" i="1"/>
  <c r="E35" i="1"/>
  <c r="E79" i="1" s="1"/>
  <c r="D35" i="1"/>
  <c r="D79" i="1" s="1"/>
  <c r="C35" i="1"/>
  <c r="I35" i="1" s="1"/>
  <c r="P34" i="1"/>
  <c r="O34" i="1"/>
  <c r="O78" i="1" s="1"/>
  <c r="N34" i="1"/>
  <c r="M34" i="1"/>
  <c r="L34" i="1"/>
  <c r="K34" i="1"/>
  <c r="J34" i="1"/>
  <c r="H34" i="1"/>
  <c r="H78" i="1" s="1"/>
  <c r="G34" i="1"/>
  <c r="G78" i="1" s="1"/>
  <c r="F34" i="1"/>
  <c r="F78" i="1" s="1"/>
  <c r="E34" i="1"/>
  <c r="E78" i="1" s="1"/>
  <c r="D34" i="1"/>
  <c r="D78" i="1" s="1"/>
  <c r="C34" i="1"/>
  <c r="I34" i="1" s="1"/>
  <c r="Q34" i="1" s="1"/>
  <c r="O33" i="1"/>
  <c r="N33" i="1"/>
  <c r="M33" i="1"/>
  <c r="L33" i="1"/>
  <c r="K33" i="1"/>
  <c r="J33" i="1"/>
  <c r="H33" i="1"/>
  <c r="G33" i="1"/>
  <c r="F33" i="1"/>
  <c r="E33" i="1"/>
  <c r="D33" i="1"/>
  <c r="C33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P31" i="1"/>
  <c r="P33" i="1" s="1"/>
  <c r="I31" i="1"/>
  <c r="I33" i="1" s="1"/>
  <c r="P30" i="1"/>
  <c r="I30" i="1"/>
  <c r="Q30" i="1" s="1"/>
  <c r="Q29" i="1"/>
  <c r="P29" i="1"/>
  <c r="I29" i="1"/>
  <c r="P28" i="1"/>
  <c r="I28" i="1"/>
  <c r="Q28" i="1" s="1"/>
  <c r="P27" i="1"/>
  <c r="O27" i="1"/>
  <c r="N27" i="1"/>
  <c r="M27" i="1"/>
  <c r="L27" i="1"/>
  <c r="K27" i="1"/>
  <c r="J27" i="1"/>
  <c r="H27" i="1"/>
  <c r="G27" i="1"/>
  <c r="F27" i="1"/>
  <c r="E27" i="1"/>
  <c r="D27" i="1"/>
  <c r="C27" i="1"/>
  <c r="P26" i="1"/>
  <c r="O26" i="1"/>
  <c r="N26" i="1"/>
  <c r="M26" i="1"/>
  <c r="L26" i="1"/>
  <c r="K26" i="1"/>
  <c r="J26" i="1"/>
  <c r="H26" i="1"/>
  <c r="G26" i="1"/>
  <c r="F26" i="1"/>
  <c r="E26" i="1"/>
  <c r="D26" i="1"/>
  <c r="C26" i="1"/>
  <c r="Q25" i="1"/>
  <c r="P25" i="1"/>
  <c r="I25" i="1"/>
  <c r="I27" i="1" s="1"/>
  <c r="P24" i="1"/>
  <c r="I24" i="1"/>
  <c r="Q24" i="1" s="1"/>
  <c r="P23" i="1"/>
  <c r="I23" i="1"/>
  <c r="Q23" i="1" s="1"/>
  <c r="Q26" i="1" s="1"/>
  <c r="P22" i="1"/>
  <c r="Q22" i="1" s="1"/>
  <c r="O21" i="1"/>
  <c r="N21" i="1"/>
  <c r="M21" i="1"/>
  <c r="L21" i="1"/>
  <c r="K21" i="1"/>
  <c r="J21" i="1"/>
  <c r="H21" i="1"/>
  <c r="G21" i="1"/>
  <c r="F21" i="1"/>
  <c r="E21" i="1"/>
  <c r="D21" i="1"/>
  <c r="C21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P19" i="1"/>
  <c r="P20" i="1" s="1"/>
  <c r="I19" i="1"/>
  <c r="Q19" i="1" s="1"/>
  <c r="P18" i="1"/>
  <c r="P21" i="1" s="1"/>
  <c r="I18" i="1"/>
  <c r="Q18" i="1" s="1"/>
  <c r="Q17" i="1"/>
  <c r="P17" i="1"/>
  <c r="I17" i="1"/>
  <c r="Q16" i="1"/>
  <c r="P16" i="1"/>
  <c r="I16" i="1"/>
  <c r="O15" i="1"/>
  <c r="N15" i="1"/>
  <c r="M15" i="1"/>
  <c r="L15" i="1"/>
  <c r="K15" i="1"/>
  <c r="J15" i="1"/>
  <c r="H15" i="1"/>
  <c r="G15" i="1"/>
  <c r="F15" i="1"/>
  <c r="E15" i="1"/>
  <c r="D15" i="1"/>
  <c r="C15" i="1"/>
  <c r="P14" i="1"/>
  <c r="O14" i="1"/>
  <c r="N14" i="1"/>
  <c r="M14" i="1"/>
  <c r="L14" i="1"/>
  <c r="K14" i="1"/>
  <c r="J14" i="1"/>
  <c r="H14" i="1"/>
  <c r="G14" i="1"/>
  <c r="F14" i="1"/>
  <c r="E14" i="1"/>
  <c r="D14" i="1"/>
  <c r="C14" i="1"/>
  <c r="Q13" i="1"/>
  <c r="Q15" i="1" s="1"/>
  <c r="P13" i="1"/>
  <c r="P15" i="1" s="1"/>
  <c r="I13" i="1"/>
  <c r="I15" i="1" s="1"/>
  <c r="Q12" i="1"/>
  <c r="P12" i="1"/>
  <c r="I12" i="1"/>
  <c r="P11" i="1"/>
  <c r="I11" i="1"/>
  <c r="Q11" i="1" s="1"/>
  <c r="P10" i="1"/>
  <c r="I10" i="1"/>
  <c r="Q10" i="1" s="1"/>
  <c r="O9" i="1"/>
  <c r="N9" i="1"/>
  <c r="M9" i="1"/>
  <c r="L9" i="1"/>
  <c r="K9" i="1"/>
  <c r="J9" i="1"/>
  <c r="H9" i="1"/>
  <c r="G9" i="1"/>
  <c r="F9" i="1"/>
  <c r="E9" i="1"/>
  <c r="D9" i="1"/>
  <c r="C9" i="1"/>
  <c r="O8" i="1"/>
  <c r="N8" i="1"/>
  <c r="M8" i="1"/>
  <c r="L8" i="1"/>
  <c r="K8" i="1"/>
  <c r="J8" i="1"/>
  <c r="I8" i="1"/>
  <c r="H8" i="1"/>
  <c r="G8" i="1"/>
  <c r="F8" i="1"/>
  <c r="E8" i="1"/>
  <c r="D8" i="1"/>
  <c r="C8" i="1"/>
  <c r="P7" i="1"/>
  <c r="P8" i="1" s="1"/>
  <c r="I7" i="1"/>
  <c r="Q7" i="1" s="1"/>
  <c r="P6" i="1"/>
  <c r="P9" i="1" s="1"/>
  <c r="I6" i="1"/>
  <c r="Q6" i="1" s="1"/>
  <c r="Q5" i="1"/>
  <c r="P5" i="1"/>
  <c r="I5" i="1"/>
  <c r="Q4" i="1"/>
  <c r="P4" i="1"/>
  <c r="I4" i="1"/>
  <c r="Q64" i="1" l="1"/>
  <c r="Q63" i="1"/>
  <c r="N39" i="1"/>
  <c r="N76" i="1" s="1"/>
  <c r="N83" i="1" s="1"/>
  <c r="N38" i="1"/>
  <c r="O39" i="1"/>
  <c r="O76" i="1" s="1"/>
  <c r="O83" i="1" s="1"/>
  <c r="O38" i="1"/>
  <c r="I75" i="1"/>
  <c r="Q58" i="1"/>
  <c r="Q57" i="1"/>
  <c r="Q52" i="1"/>
  <c r="Q51" i="1"/>
  <c r="F38" i="1"/>
  <c r="F39" i="1"/>
  <c r="F76" i="1" s="1"/>
  <c r="F83" i="1" s="1"/>
  <c r="G39" i="1"/>
  <c r="G76" i="1" s="1"/>
  <c r="G83" i="1" s="1"/>
  <c r="G38" i="1"/>
  <c r="Q27" i="1"/>
  <c r="C39" i="1"/>
  <c r="C76" i="1" s="1"/>
  <c r="C83" i="1" s="1"/>
  <c r="C38" i="1"/>
  <c r="P80" i="1"/>
  <c r="Q80" i="1" s="1"/>
  <c r="D39" i="1"/>
  <c r="D76" i="1" s="1"/>
  <c r="D83" i="1" s="1"/>
  <c r="D38" i="1"/>
  <c r="Q45" i="1"/>
  <c r="Q46" i="1"/>
  <c r="Q20" i="1"/>
  <c r="Q21" i="1"/>
  <c r="Q35" i="1"/>
  <c r="E39" i="1"/>
  <c r="E76" i="1" s="1"/>
  <c r="E83" i="1" s="1"/>
  <c r="E38" i="1"/>
  <c r="H82" i="1"/>
  <c r="J82" i="1"/>
  <c r="L76" i="1"/>
  <c r="L83" i="1" s="1"/>
  <c r="L38" i="1"/>
  <c r="L39" i="1"/>
  <c r="Q8" i="1"/>
  <c r="Q9" i="1"/>
  <c r="K82" i="1"/>
  <c r="M38" i="1"/>
  <c r="M39" i="1"/>
  <c r="M76" i="1" s="1"/>
  <c r="M83" i="1" s="1"/>
  <c r="Q91" i="1"/>
  <c r="Q90" i="1"/>
  <c r="I58" i="1"/>
  <c r="F75" i="1"/>
  <c r="J37" i="1"/>
  <c r="I57" i="1"/>
  <c r="I69" i="1"/>
  <c r="C75" i="1"/>
  <c r="O75" i="1"/>
  <c r="O82" i="1" s="1"/>
  <c r="I96" i="1"/>
  <c r="D75" i="1"/>
  <c r="Q14" i="1"/>
  <c r="Q31" i="1"/>
  <c r="K37" i="1"/>
  <c r="I51" i="1"/>
  <c r="I63" i="1"/>
  <c r="C78" i="1"/>
  <c r="I78" i="1" s="1"/>
  <c r="Q78" i="1" s="1"/>
  <c r="L79" i="1"/>
  <c r="P79" i="1" s="1"/>
  <c r="I90" i="1"/>
  <c r="G75" i="1"/>
  <c r="I9" i="1"/>
  <c r="I21" i="1"/>
  <c r="Q95" i="1"/>
  <c r="I26" i="1"/>
  <c r="P57" i="1"/>
  <c r="P69" i="1"/>
  <c r="P73" i="1"/>
  <c r="Q73" i="1" s="1"/>
  <c r="P96" i="1"/>
  <c r="I14" i="1"/>
  <c r="P32" i="1"/>
  <c r="P45" i="1"/>
  <c r="H81" i="1"/>
  <c r="H37" i="1" s="1"/>
  <c r="E82" i="1"/>
  <c r="C79" i="1"/>
  <c r="I79" i="1" s="1"/>
  <c r="I81" i="1"/>
  <c r="Q81" i="1" s="1"/>
  <c r="Q68" i="1"/>
  <c r="P74" i="1"/>
  <c r="Q74" i="1" s="1"/>
  <c r="H75" i="1"/>
  <c r="H39" i="1" l="1"/>
  <c r="H76" i="1" s="1"/>
  <c r="H83" i="1" s="1"/>
  <c r="H38" i="1"/>
  <c r="I37" i="1"/>
  <c r="P82" i="1"/>
  <c r="K38" i="1"/>
  <c r="K39" i="1"/>
  <c r="K76" i="1" s="1"/>
  <c r="K83" i="1" s="1"/>
  <c r="Q70" i="1"/>
  <c r="Q69" i="1"/>
  <c r="Q75" i="1" s="1"/>
  <c r="Q82" i="1" s="1"/>
  <c r="Q97" i="1"/>
  <c r="Q96" i="1"/>
  <c r="Q32" i="1"/>
  <c r="Q33" i="1"/>
  <c r="P75" i="1"/>
  <c r="Q79" i="1"/>
  <c r="J39" i="1"/>
  <c r="J76" i="1" s="1"/>
  <c r="J83" i="1" s="1"/>
  <c r="P37" i="1"/>
  <c r="J38" i="1"/>
  <c r="I82" i="1"/>
  <c r="P39" i="1" l="1"/>
  <c r="P76" i="1" s="1"/>
  <c r="P83" i="1" s="1"/>
  <c r="P38" i="1"/>
  <c r="I39" i="1"/>
  <c r="I76" i="1" s="1"/>
  <c r="I83" i="1" s="1"/>
  <c r="I38" i="1"/>
  <c r="Q37" i="1"/>
  <c r="Q38" i="1" l="1"/>
  <c r="Q39" i="1"/>
  <c r="Q76" i="1" s="1"/>
  <c r="Q83" i="1" s="1"/>
</calcChain>
</file>

<file path=xl/sharedStrings.xml><?xml version="1.0" encoding="utf-8"?>
<sst xmlns="http://schemas.openxmlformats.org/spreadsheetml/2006/main" count="110" uniqueCount="26">
  <si>
    <t>２０２６年度　　スマイルキッズ売上目標と実績結果　（第５期）</t>
    <rPh sb="4" eb="6">
      <t>ネンド</t>
    </rPh>
    <rPh sb="15" eb="17">
      <t>ウリアゲ</t>
    </rPh>
    <rPh sb="17" eb="19">
      <t>モクヒョウ</t>
    </rPh>
    <rPh sb="20" eb="22">
      <t>ジッセキ</t>
    </rPh>
    <rPh sb="22" eb="24">
      <t>ケッカ</t>
    </rPh>
    <rPh sb="26" eb="27">
      <t>ダイ</t>
    </rPh>
    <rPh sb="28" eb="29">
      <t>キ</t>
    </rPh>
    <phoneticPr fontId="4"/>
  </si>
  <si>
    <t>目標：実績</t>
    <rPh sb="0" eb="2">
      <t>モクヒョウ</t>
    </rPh>
    <rPh sb="3" eb="5">
      <t>ジッセキ</t>
    </rPh>
    <phoneticPr fontId="4"/>
  </si>
  <si>
    <t>上期計</t>
    <rPh sb="0" eb="2">
      <t>カミキ</t>
    </rPh>
    <rPh sb="2" eb="3">
      <t>ケイ</t>
    </rPh>
    <phoneticPr fontId="4"/>
  </si>
  <si>
    <t>下期計</t>
    <rPh sb="0" eb="2">
      <t>シモキ</t>
    </rPh>
    <rPh sb="2" eb="3">
      <t>ケイ</t>
    </rPh>
    <phoneticPr fontId="4"/>
  </si>
  <si>
    <t>通期計</t>
    <rPh sb="0" eb="2">
      <t>ツウキ</t>
    </rPh>
    <rPh sb="2" eb="3">
      <t>ケイ</t>
    </rPh>
    <phoneticPr fontId="4"/>
  </si>
  <si>
    <t>小泉</t>
    <rPh sb="0" eb="2">
      <t>コイズミ</t>
    </rPh>
    <phoneticPr fontId="4"/>
  </si>
  <si>
    <t>前期目標</t>
    <rPh sb="0" eb="2">
      <t>ゼンキ</t>
    </rPh>
    <rPh sb="2" eb="4">
      <t>モクヒョウ</t>
    </rPh>
    <phoneticPr fontId="4"/>
  </si>
  <si>
    <t>前期実績</t>
    <rPh sb="0" eb="2">
      <t>ゼンキ</t>
    </rPh>
    <rPh sb="2" eb="4">
      <t>ジッセキ</t>
    </rPh>
    <phoneticPr fontId="4"/>
  </si>
  <si>
    <t>今期目標</t>
    <rPh sb="0" eb="2">
      <t>コンキ</t>
    </rPh>
    <rPh sb="2" eb="4">
      <t>モクヒョウ</t>
    </rPh>
    <phoneticPr fontId="4"/>
  </si>
  <si>
    <t>実績</t>
    <rPh sb="0" eb="2">
      <t>ジッセキ</t>
    </rPh>
    <phoneticPr fontId="4"/>
  </si>
  <si>
    <t>前年比</t>
    <rPh sb="0" eb="2">
      <t>ゼンネン</t>
    </rPh>
    <rPh sb="2" eb="3">
      <t>ヒ</t>
    </rPh>
    <phoneticPr fontId="4"/>
  </si>
  <si>
    <t>目標比</t>
    <rPh sb="0" eb="2">
      <t>モクヒョウ</t>
    </rPh>
    <rPh sb="2" eb="3">
      <t>ヒ</t>
    </rPh>
    <phoneticPr fontId="4"/>
  </si>
  <si>
    <t>水原KK</t>
    <rPh sb="0" eb="2">
      <t>ミズハラ</t>
    </rPh>
    <phoneticPr fontId="4"/>
  </si>
  <si>
    <t>西山</t>
    <rPh sb="0" eb="2">
      <t>ニシヤマ</t>
    </rPh>
    <phoneticPr fontId="4"/>
  </si>
  <si>
    <t>松平KK</t>
    <phoneticPr fontId="4"/>
  </si>
  <si>
    <t>河端</t>
    <rPh sb="0" eb="2">
      <t>カワバタ</t>
    </rPh>
    <phoneticPr fontId="4"/>
  </si>
  <si>
    <t>1課合計</t>
    <rPh sb="1" eb="2">
      <t>カ</t>
    </rPh>
    <rPh sb="2" eb="4">
      <t>ゴウケイ</t>
    </rPh>
    <phoneticPr fontId="4"/>
  </si>
  <si>
    <t>壯太社長</t>
    <rPh sb="0" eb="2">
      <t>ソウタ</t>
    </rPh>
    <rPh sb="2" eb="4">
      <t>シャチョウ</t>
    </rPh>
    <phoneticPr fontId="4"/>
  </si>
  <si>
    <t>鈴木K</t>
    <phoneticPr fontId="4"/>
  </si>
  <si>
    <t>穴山</t>
    <rPh sb="0" eb="2">
      <t>アナヤマ</t>
    </rPh>
    <phoneticPr fontId="4"/>
  </si>
  <si>
    <t>川村</t>
    <rPh sb="0" eb="2">
      <t>カワムラ</t>
    </rPh>
    <phoneticPr fontId="4"/>
  </si>
  <si>
    <t>田中KK</t>
    <rPh sb="0" eb="2">
      <t>タナカ</t>
    </rPh>
    <phoneticPr fontId="4"/>
  </si>
  <si>
    <t>2課合計</t>
    <rPh sb="1" eb="2">
      <t>カ</t>
    </rPh>
    <rPh sb="2" eb="4">
      <t>ゴウケイ</t>
    </rPh>
    <phoneticPr fontId="4"/>
  </si>
  <si>
    <t>全社合計</t>
    <rPh sb="0" eb="2">
      <t>ゼンシャ</t>
    </rPh>
    <rPh sb="2" eb="4">
      <t>ゴウケイ</t>
    </rPh>
    <phoneticPr fontId="4"/>
  </si>
  <si>
    <t>安部KK</t>
    <rPh sb="0" eb="2">
      <t>アベ</t>
    </rPh>
    <phoneticPr fontId="4"/>
  </si>
  <si>
    <t>萩原K・他</t>
    <rPh sb="0" eb="2">
      <t>ハギワラ</t>
    </rPh>
    <rPh sb="4" eb="5">
      <t>ホカ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</si>
</sst>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b/>
      <sz val="18"/>
      <name val="Meiryo UI"/>
      <family val="3"/>
      <charset val="128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b/>
      <u/>
      <sz val="12"/>
      <name val="Meiryo UI"/>
      <family val="3"/>
      <charset val="128"/>
    </font>
    <font>
      <b/>
      <sz val="13"/>
      <name val="Meiryo UI"/>
      <family val="3"/>
      <charset val="128"/>
    </font>
    <font>
      <sz val="13"/>
      <name val="Meiryo UI"/>
      <family val="3"/>
      <charset val="128"/>
    </font>
    <font>
      <sz val="12"/>
      <name val="Meiryo UI"/>
      <family val="3"/>
      <charset val="128"/>
    </font>
    <font>
      <sz val="13"/>
      <color indexed="10"/>
      <name val="Meiryo UI"/>
      <family val="3"/>
      <charset val="128"/>
    </font>
    <font>
      <b/>
      <sz val="13"/>
      <color indexed="10"/>
      <name val="Meiryo UI"/>
      <family val="3"/>
      <charset val="128"/>
    </font>
    <font>
      <sz val="12"/>
      <color indexed="10"/>
      <name val="Meiryo UI"/>
      <family val="3"/>
      <charset val="128"/>
    </font>
    <font>
      <sz val="13"/>
      <color indexed="12"/>
      <name val="Meiryo UI"/>
      <family val="3"/>
      <charset val="128"/>
    </font>
    <font>
      <b/>
      <sz val="13"/>
      <color indexed="12"/>
      <name val="Meiryo UI"/>
      <family val="3"/>
      <charset val="128"/>
    </font>
    <font>
      <sz val="12"/>
      <color indexed="12"/>
      <name val="Meiryo UI"/>
      <family val="3"/>
      <charset val="128"/>
    </font>
    <font>
      <sz val="13"/>
      <color indexed="14"/>
      <name val="Meiryo UI"/>
      <family val="3"/>
      <charset val="128"/>
    </font>
    <font>
      <sz val="13"/>
      <color rgb="FFFF00FF"/>
      <name val="Meiryo UI"/>
      <family val="3"/>
      <charset val="128"/>
    </font>
    <font>
      <b/>
      <sz val="13"/>
      <color indexed="14"/>
      <name val="Meiryo UI"/>
      <family val="3"/>
      <charset val="128"/>
    </font>
    <font>
      <sz val="12"/>
      <color indexed="53"/>
      <name val="Meiryo UI"/>
      <family val="3"/>
      <charset val="128"/>
    </font>
    <font>
      <sz val="13"/>
      <color rgb="FFFF0000"/>
      <name val="Meiryo UI"/>
      <family val="3"/>
      <charset val="128"/>
    </font>
    <font>
      <sz val="12"/>
      <color indexed="14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55" fontId="9" fillId="0" borderId="3" xfId="0" applyNumberFormat="1" applyFont="1" applyBorder="1" applyAlignment="1">
      <alignment vertical="center"/>
    </xf>
    <xf numFmtId="55" fontId="9" fillId="0" borderId="4" xfId="0" applyNumberFormat="1" applyFont="1" applyBorder="1" applyAlignment="1">
      <alignment vertical="center"/>
    </xf>
    <xf numFmtId="55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textRotation="255"/>
    </xf>
    <xf numFmtId="38" fontId="10" fillId="0" borderId="7" xfId="1" applyFont="1" applyFill="1" applyBorder="1" applyAlignment="1">
      <alignment horizontal="center" vertical="center"/>
    </xf>
    <xf numFmtId="38" fontId="10" fillId="0" borderId="8" xfId="1" applyFont="1" applyFill="1" applyBorder="1">
      <alignment vertical="center"/>
    </xf>
    <xf numFmtId="38" fontId="9" fillId="2" borderId="8" xfId="1" applyFont="1" applyFill="1" applyBorder="1">
      <alignment vertical="center"/>
    </xf>
    <xf numFmtId="38" fontId="9" fillId="3" borderId="9" xfId="1" applyFont="1" applyFill="1" applyBorder="1">
      <alignment vertical="center"/>
    </xf>
    <xf numFmtId="0" fontId="11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textRotation="255"/>
    </xf>
    <xf numFmtId="38" fontId="12" fillId="0" borderId="11" xfId="1" applyFont="1" applyFill="1" applyBorder="1" applyAlignment="1">
      <alignment horizontal="center" vertical="center"/>
    </xf>
    <xf numFmtId="38" fontId="12" fillId="0" borderId="12" xfId="1" applyFont="1" applyFill="1" applyBorder="1">
      <alignment vertical="center"/>
    </xf>
    <xf numFmtId="38" fontId="13" fillId="2" borderId="12" xfId="1" applyFont="1" applyFill="1" applyBorder="1">
      <alignment vertical="center"/>
    </xf>
    <xf numFmtId="38" fontId="13" fillId="3" borderId="13" xfId="1" applyFont="1" applyFill="1" applyBorder="1">
      <alignment vertical="center"/>
    </xf>
    <xf numFmtId="38" fontId="14" fillId="0" borderId="0" xfId="1" applyFont="1" applyFill="1">
      <alignment vertical="center"/>
    </xf>
    <xf numFmtId="38" fontId="15" fillId="0" borderId="11" xfId="1" applyFont="1" applyFill="1" applyBorder="1" applyAlignment="1">
      <alignment horizontal="center" vertical="center"/>
    </xf>
    <xf numFmtId="38" fontId="15" fillId="0" borderId="12" xfId="1" applyFont="1" applyFill="1" applyBorder="1">
      <alignment vertical="center"/>
    </xf>
    <xf numFmtId="38" fontId="16" fillId="2" borderId="12" xfId="1" applyFont="1" applyFill="1" applyBorder="1">
      <alignment vertical="center"/>
    </xf>
    <xf numFmtId="38" fontId="16" fillId="3" borderId="13" xfId="1" applyFont="1" applyFill="1" applyBorder="1">
      <alignment vertical="center"/>
    </xf>
    <xf numFmtId="38" fontId="17" fillId="0" borderId="0" xfId="1" applyFont="1" applyFill="1">
      <alignment vertical="center"/>
    </xf>
    <xf numFmtId="0" fontId="18" fillId="0" borderId="11" xfId="0" applyFont="1" applyBorder="1" applyAlignment="1">
      <alignment horizontal="center" vertical="center"/>
    </xf>
    <xf numFmtId="38" fontId="18" fillId="0" borderId="12" xfId="0" applyNumberFormat="1" applyFont="1" applyBorder="1" applyAlignment="1">
      <alignment vertical="center"/>
    </xf>
    <xf numFmtId="38" fontId="19" fillId="0" borderId="12" xfId="0" applyNumberFormat="1" applyFont="1" applyBorder="1" applyAlignment="1">
      <alignment vertical="center"/>
    </xf>
    <xf numFmtId="38" fontId="20" fillId="2" borderId="12" xfId="1" applyFont="1" applyFill="1" applyBorder="1">
      <alignment vertical="center"/>
    </xf>
    <xf numFmtId="38" fontId="20" fillId="2" borderId="12" xfId="0" applyNumberFormat="1" applyFont="1" applyFill="1" applyBorder="1" applyAlignment="1">
      <alignment vertical="center"/>
    </xf>
    <xf numFmtId="38" fontId="20" fillId="3" borderId="13" xfId="1" applyFont="1" applyFill="1" applyBorder="1">
      <alignment vertical="center"/>
    </xf>
    <xf numFmtId="0" fontId="21" fillId="0" borderId="0" xfId="0" applyFont="1" applyAlignment="1">
      <alignment vertical="center"/>
    </xf>
    <xf numFmtId="176" fontId="15" fillId="0" borderId="11" xfId="2" applyNumberFormat="1" applyFont="1" applyFill="1" applyBorder="1" applyAlignment="1">
      <alignment horizontal="center" vertical="center"/>
    </xf>
    <xf numFmtId="176" fontId="15" fillId="0" borderId="12" xfId="2" applyNumberFormat="1" applyFont="1" applyFill="1" applyBorder="1">
      <alignment vertical="center"/>
    </xf>
    <xf numFmtId="176" fontId="16" fillId="2" borderId="12" xfId="2" applyNumberFormat="1" applyFont="1" applyFill="1" applyBorder="1">
      <alignment vertical="center"/>
    </xf>
    <xf numFmtId="176" fontId="16" fillId="3" borderId="13" xfId="2" applyNumberFormat="1" applyFont="1" applyFill="1" applyBorder="1">
      <alignment vertical="center"/>
    </xf>
    <xf numFmtId="0" fontId="17" fillId="0" borderId="0" xfId="0" applyFont="1" applyAlignment="1">
      <alignment vertical="center"/>
    </xf>
    <xf numFmtId="0" fontId="10" fillId="0" borderId="14" xfId="0" applyFont="1" applyBorder="1" applyAlignment="1">
      <alignment horizontal="center" vertical="center" textRotation="255"/>
    </xf>
    <xf numFmtId="0" fontId="10" fillId="0" borderId="15" xfId="0" applyFont="1" applyBorder="1" applyAlignment="1">
      <alignment horizontal="center" vertical="center"/>
    </xf>
    <xf numFmtId="176" fontId="10" fillId="0" borderId="16" xfId="2" applyNumberFormat="1" applyFont="1" applyFill="1" applyBorder="1">
      <alignment vertical="center"/>
    </xf>
    <xf numFmtId="176" fontId="9" fillId="2" borderId="16" xfId="2" applyNumberFormat="1" applyFont="1" applyFill="1" applyBorder="1">
      <alignment vertical="center"/>
    </xf>
    <xf numFmtId="176" fontId="9" fillId="3" borderId="17" xfId="2" applyNumberFormat="1" applyFont="1" applyFill="1" applyBorder="1">
      <alignment vertical="center"/>
    </xf>
    <xf numFmtId="0" fontId="10" fillId="0" borderId="18" xfId="0" applyFont="1" applyBorder="1" applyAlignment="1">
      <alignment horizontal="center" vertical="center" textRotation="255"/>
    </xf>
    <xf numFmtId="38" fontId="10" fillId="0" borderId="19" xfId="1" applyFont="1" applyFill="1" applyBorder="1" applyAlignment="1">
      <alignment horizontal="center" vertical="center"/>
    </xf>
    <xf numFmtId="38" fontId="10" fillId="0" borderId="20" xfId="2" applyNumberFormat="1" applyFont="1" applyFill="1" applyBorder="1">
      <alignment vertical="center"/>
    </xf>
    <xf numFmtId="38" fontId="9" fillId="2" borderId="20" xfId="1" applyFont="1" applyFill="1" applyBorder="1">
      <alignment vertical="center"/>
    </xf>
    <xf numFmtId="38" fontId="9" fillId="3" borderId="21" xfId="1" applyFont="1" applyFill="1" applyBorder="1">
      <alignment vertical="center"/>
    </xf>
    <xf numFmtId="38" fontId="22" fillId="0" borderId="12" xfId="2" applyNumberFormat="1" applyFont="1" applyFill="1" applyBorder="1">
      <alignment vertical="center"/>
    </xf>
    <xf numFmtId="3" fontId="22" fillId="0" borderId="12" xfId="2" applyNumberFormat="1" applyFont="1" applyFill="1" applyBorder="1">
      <alignment vertical="center"/>
    </xf>
    <xf numFmtId="0" fontId="10" fillId="0" borderId="22" xfId="0" applyFont="1" applyBorder="1" applyAlignment="1">
      <alignment horizontal="center" vertical="center" textRotation="255"/>
    </xf>
    <xf numFmtId="0" fontId="10" fillId="0" borderId="23" xfId="0" applyFont="1" applyBorder="1" applyAlignment="1">
      <alignment horizontal="center" vertical="center"/>
    </xf>
    <xf numFmtId="176" fontId="10" fillId="0" borderId="24" xfId="2" applyNumberFormat="1" applyFont="1" applyFill="1" applyBorder="1">
      <alignment vertical="center"/>
    </xf>
    <xf numFmtId="176" fontId="9" fillId="2" borderId="24" xfId="2" applyNumberFormat="1" applyFont="1" applyFill="1" applyBorder="1">
      <alignment vertical="center"/>
    </xf>
    <xf numFmtId="176" fontId="9" fillId="3" borderId="25" xfId="2" applyNumberFormat="1" applyFont="1" applyFill="1" applyBorder="1">
      <alignment vertical="center"/>
    </xf>
    <xf numFmtId="0" fontId="10" fillId="0" borderId="6" xfId="0" applyFont="1" applyBorder="1" applyAlignment="1">
      <alignment horizontal="center" vertical="center" textRotation="255" shrinkToFit="1"/>
    </xf>
    <xf numFmtId="0" fontId="10" fillId="0" borderId="10" xfId="0" applyFont="1" applyBorder="1" applyAlignment="1">
      <alignment horizontal="center" vertical="center" textRotation="255" shrinkToFit="1"/>
    </xf>
    <xf numFmtId="176" fontId="17" fillId="0" borderId="0" xfId="2" applyNumberFormat="1" applyFont="1" applyFill="1">
      <alignment vertical="center"/>
    </xf>
    <xf numFmtId="0" fontId="10" fillId="0" borderId="14" xfId="0" applyFont="1" applyBorder="1" applyAlignment="1">
      <alignment horizontal="center" vertical="center" textRotation="255" shrinkToFit="1"/>
    </xf>
    <xf numFmtId="0" fontId="10" fillId="0" borderId="18" xfId="0" applyFont="1" applyBorder="1" applyAlignment="1">
      <alignment horizontal="center" vertical="center" textRotation="255" wrapText="1"/>
    </xf>
    <xf numFmtId="38" fontId="10" fillId="0" borderId="20" xfId="1" applyFont="1" applyFill="1" applyBorder="1">
      <alignment vertical="center"/>
    </xf>
    <xf numFmtId="0" fontId="10" fillId="0" borderId="26" xfId="0" applyFont="1" applyBorder="1" applyAlignment="1">
      <alignment horizontal="center" vertical="center" textRotation="255"/>
    </xf>
    <xf numFmtId="0" fontId="10" fillId="0" borderId="27" xfId="0" applyFont="1" applyBorder="1" applyAlignment="1">
      <alignment horizontal="center" vertical="center"/>
    </xf>
    <xf numFmtId="176" fontId="10" fillId="0" borderId="28" xfId="2" applyNumberFormat="1" applyFont="1" applyFill="1" applyBorder="1">
      <alignment vertical="center"/>
    </xf>
    <xf numFmtId="176" fontId="9" fillId="2" borderId="28" xfId="2" applyNumberFormat="1" applyFont="1" applyFill="1" applyBorder="1">
      <alignment vertical="center"/>
    </xf>
    <xf numFmtId="176" fontId="9" fillId="3" borderId="29" xfId="2" applyNumberFormat="1" applyFont="1" applyFill="1" applyBorder="1">
      <alignment vertical="center"/>
    </xf>
    <xf numFmtId="0" fontId="9" fillId="2" borderId="18" xfId="0" applyFont="1" applyFill="1" applyBorder="1" applyAlignment="1">
      <alignment horizontal="center" vertical="center" textRotation="255"/>
    </xf>
    <xf numFmtId="38" fontId="9" fillId="2" borderId="19" xfId="1" applyFont="1" applyFill="1" applyBorder="1" applyAlignment="1">
      <alignment horizontal="center" vertical="center"/>
    </xf>
    <xf numFmtId="38" fontId="11" fillId="0" borderId="0" xfId="1" applyFont="1" applyFill="1">
      <alignment vertical="center"/>
    </xf>
    <xf numFmtId="0" fontId="9" fillId="2" borderId="10" xfId="0" applyFont="1" applyFill="1" applyBorder="1" applyAlignment="1">
      <alignment horizontal="center" vertical="center" textRotation="255"/>
    </xf>
    <xf numFmtId="38" fontId="13" fillId="2" borderId="11" xfId="1" applyFont="1" applyFill="1" applyBorder="1" applyAlignment="1">
      <alignment horizontal="center" vertical="center"/>
    </xf>
    <xf numFmtId="38" fontId="13" fillId="2" borderId="12" xfId="1" applyFont="1" applyFill="1" applyBorder="1" applyAlignment="1">
      <alignment horizontal="right" vertical="center"/>
    </xf>
    <xf numFmtId="38" fontId="13" fillId="3" borderId="13" xfId="1" applyFont="1" applyFill="1" applyBorder="1" applyAlignment="1">
      <alignment horizontal="right" vertical="center"/>
    </xf>
    <xf numFmtId="38" fontId="14" fillId="0" borderId="0" xfId="1" applyFont="1" applyFill="1" applyAlignment="1">
      <alignment vertical="center"/>
    </xf>
    <xf numFmtId="38" fontId="16" fillId="2" borderId="11" xfId="1" applyFont="1" applyFill="1" applyBorder="1" applyAlignment="1">
      <alignment horizontal="center" vertical="center"/>
    </xf>
    <xf numFmtId="38" fontId="16" fillId="2" borderId="12" xfId="1" applyFont="1" applyFill="1" applyBorder="1" applyAlignment="1">
      <alignment horizontal="right" vertical="center"/>
    </xf>
    <xf numFmtId="38" fontId="16" fillId="3" borderId="13" xfId="1" applyFont="1" applyFill="1" applyBorder="1" applyAlignment="1">
      <alignment horizontal="right" vertical="center"/>
    </xf>
    <xf numFmtId="38" fontId="17" fillId="0" borderId="0" xfId="1" applyFont="1" applyFill="1" applyAlignment="1">
      <alignment vertical="center"/>
    </xf>
    <xf numFmtId="0" fontId="20" fillId="2" borderId="11" xfId="0" applyFont="1" applyFill="1" applyBorder="1" applyAlignment="1">
      <alignment horizontal="center" vertical="center"/>
    </xf>
    <xf numFmtId="38" fontId="20" fillId="3" borderId="13" xfId="0" applyNumberFormat="1" applyFont="1" applyFill="1" applyBorder="1" applyAlignment="1">
      <alignment vertical="center"/>
    </xf>
    <xf numFmtId="0" fontId="23" fillId="0" borderId="0" xfId="0" applyFont="1" applyAlignment="1">
      <alignment vertical="center"/>
    </xf>
    <xf numFmtId="176" fontId="16" fillId="2" borderId="11" xfId="2" applyNumberFormat="1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 textRotation="255"/>
    </xf>
    <xf numFmtId="0" fontId="9" fillId="2" borderId="23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 textRotation="255"/>
    </xf>
    <xf numFmtId="0" fontId="9" fillId="0" borderId="30" xfId="0" applyFont="1" applyBorder="1" applyAlignment="1">
      <alignment horizontal="center" vertical="center"/>
    </xf>
    <xf numFmtId="176" fontId="9" fillId="0" borderId="30" xfId="2" applyNumberFormat="1" applyFont="1" applyFill="1" applyBorder="1">
      <alignment vertical="center"/>
    </xf>
    <xf numFmtId="38" fontId="10" fillId="0" borderId="8" xfId="2" applyNumberFormat="1" applyFont="1" applyFill="1" applyBorder="1">
      <alignment vertical="center"/>
    </xf>
    <xf numFmtId="0" fontId="9" fillId="2" borderId="14" xfId="0" applyFont="1" applyFill="1" applyBorder="1" applyAlignment="1">
      <alignment horizontal="center" vertical="center" textRotation="255"/>
    </xf>
    <xf numFmtId="0" fontId="9" fillId="2" borderId="15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textRotation="255"/>
    </xf>
    <xf numFmtId="38" fontId="9" fillId="3" borderId="19" xfId="1" applyFont="1" applyFill="1" applyBorder="1" applyAlignment="1">
      <alignment horizontal="center" vertical="center"/>
    </xf>
    <xf numFmtId="38" fontId="9" fillId="3" borderId="20" xfId="1" applyFont="1" applyFill="1" applyBorder="1">
      <alignment vertical="center"/>
    </xf>
    <xf numFmtId="0" fontId="9" fillId="3" borderId="10" xfId="0" applyFont="1" applyFill="1" applyBorder="1" applyAlignment="1">
      <alignment horizontal="center" vertical="center" textRotation="255"/>
    </xf>
    <xf numFmtId="38" fontId="13" fillId="3" borderId="11" xfId="1" applyFont="1" applyFill="1" applyBorder="1" applyAlignment="1">
      <alignment horizontal="center" vertical="center"/>
    </xf>
    <xf numFmtId="38" fontId="13" fillId="3" borderId="12" xfId="1" applyFont="1" applyFill="1" applyBorder="1" applyAlignment="1">
      <alignment horizontal="right" vertical="center"/>
    </xf>
    <xf numFmtId="38" fontId="16" fillId="3" borderId="11" xfId="1" applyFont="1" applyFill="1" applyBorder="1" applyAlignment="1">
      <alignment horizontal="center" vertical="center"/>
    </xf>
    <xf numFmtId="38" fontId="16" fillId="3" borderId="12" xfId="1" applyFont="1" applyFill="1" applyBorder="1" applyAlignment="1">
      <alignment horizontal="right" vertical="center"/>
    </xf>
    <xf numFmtId="0" fontId="20" fillId="3" borderId="11" xfId="0" applyFont="1" applyFill="1" applyBorder="1" applyAlignment="1">
      <alignment horizontal="center" vertical="center"/>
    </xf>
    <xf numFmtId="38" fontId="20" fillId="3" borderId="12" xfId="0" applyNumberFormat="1" applyFont="1" applyFill="1" applyBorder="1" applyAlignment="1">
      <alignment vertical="center"/>
    </xf>
    <xf numFmtId="176" fontId="16" fillId="3" borderId="11" xfId="2" applyNumberFormat="1" applyFont="1" applyFill="1" applyBorder="1" applyAlignment="1">
      <alignment horizontal="center" vertical="center"/>
    </xf>
    <xf numFmtId="176" fontId="16" fillId="3" borderId="12" xfId="2" applyNumberFormat="1" applyFont="1" applyFill="1" applyBorder="1">
      <alignment vertical="center"/>
    </xf>
    <xf numFmtId="0" fontId="9" fillId="3" borderId="14" xfId="0" applyFont="1" applyFill="1" applyBorder="1" applyAlignment="1">
      <alignment horizontal="center" vertical="center" textRotation="255"/>
    </xf>
    <xf numFmtId="0" fontId="9" fillId="3" borderId="15" xfId="0" applyFont="1" applyFill="1" applyBorder="1" applyAlignment="1">
      <alignment horizontal="center" vertical="center"/>
    </xf>
    <xf numFmtId="176" fontId="9" fillId="3" borderId="16" xfId="2" applyNumberFormat="1" applyFont="1" applyFill="1" applyBorder="1">
      <alignment vertical="center"/>
    </xf>
    <xf numFmtId="0" fontId="10" fillId="4" borderId="31" xfId="0" applyFont="1" applyFill="1" applyBorder="1" applyAlignment="1">
      <alignment horizontal="center" vertical="center" textRotation="255"/>
    </xf>
    <xf numFmtId="38" fontId="10" fillId="4" borderId="32" xfId="1" applyFont="1" applyFill="1" applyBorder="1" applyAlignment="1">
      <alignment horizontal="center" vertical="center"/>
    </xf>
    <xf numFmtId="38" fontId="10" fillId="4" borderId="33" xfId="1" applyFont="1" applyFill="1" applyBorder="1">
      <alignment vertical="center"/>
    </xf>
    <xf numFmtId="38" fontId="10" fillId="4" borderId="34" xfId="1" applyFont="1" applyFill="1" applyBorder="1">
      <alignment vertical="center"/>
    </xf>
    <xf numFmtId="38" fontId="9" fillId="4" borderId="31" xfId="1" applyFont="1" applyFill="1" applyBorder="1">
      <alignment vertical="center"/>
    </xf>
    <xf numFmtId="38" fontId="10" fillId="4" borderId="35" xfId="1" applyFont="1" applyFill="1" applyBorder="1">
      <alignment vertical="center"/>
    </xf>
    <xf numFmtId="38" fontId="9" fillId="4" borderId="36" xfId="1" applyFont="1" applyFill="1" applyBorder="1">
      <alignment vertical="center"/>
    </xf>
    <xf numFmtId="0" fontId="10" fillId="4" borderId="37" xfId="0" applyFont="1" applyFill="1" applyBorder="1" applyAlignment="1">
      <alignment horizontal="center" vertical="center" textRotation="255"/>
    </xf>
    <xf numFmtId="38" fontId="12" fillId="4" borderId="10" xfId="1" applyFont="1" applyFill="1" applyBorder="1" applyAlignment="1">
      <alignment horizontal="center" vertical="center"/>
    </xf>
    <xf numFmtId="38" fontId="12" fillId="4" borderId="12" xfId="1" applyFont="1" applyFill="1" applyBorder="1">
      <alignment vertical="center"/>
    </xf>
    <xf numFmtId="38" fontId="12" fillId="4" borderId="11" xfId="1" applyFont="1" applyFill="1" applyBorder="1">
      <alignment vertical="center"/>
    </xf>
    <xf numFmtId="38" fontId="13" fillId="4" borderId="10" xfId="1" applyFont="1" applyFill="1" applyBorder="1">
      <alignment vertical="center"/>
    </xf>
    <xf numFmtId="38" fontId="12" fillId="4" borderId="38" xfId="1" applyFont="1" applyFill="1" applyBorder="1">
      <alignment vertical="center"/>
    </xf>
    <xf numFmtId="38" fontId="13" fillId="4" borderId="39" xfId="1" applyFont="1" applyFill="1" applyBorder="1">
      <alignment vertical="center"/>
    </xf>
    <xf numFmtId="38" fontId="15" fillId="4" borderId="10" xfId="1" applyFont="1" applyFill="1" applyBorder="1" applyAlignment="1">
      <alignment horizontal="center" vertical="center"/>
    </xf>
    <xf numFmtId="38" fontId="15" fillId="4" borderId="12" xfId="1" applyFont="1" applyFill="1" applyBorder="1">
      <alignment vertical="center"/>
    </xf>
    <xf numFmtId="38" fontId="15" fillId="4" borderId="11" xfId="1" applyFont="1" applyFill="1" applyBorder="1">
      <alignment vertical="center"/>
    </xf>
    <xf numFmtId="38" fontId="16" fillId="4" borderId="10" xfId="1" applyFont="1" applyFill="1" applyBorder="1">
      <alignment vertical="center"/>
    </xf>
    <xf numFmtId="38" fontId="15" fillId="4" borderId="38" xfId="1" applyFont="1" applyFill="1" applyBorder="1">
      <alignment vertical="center"/>
    </xf>
    <xf numFmtId="38" fontId="16" fillId="4" borderId="39" xfId="1" applyFont="1" applyFill="1" applyBorder="1">
      <alignment vertical="center"/>
    </xf>
    <xf numFmtId="0" fontId="18" fillId="4" borderId="10" xfId="0" applyFont="1" applyFill="1" applyBorder="1" applyAlignment="1">
      <alignment horizontal="center" vertical="center"/>
    </xf>
    <xf numFmtId="38" fontId="18" fillId="4" borderId="12" xfId="0" applyNumberFormat="1" applyFont="1" applyFill="1" applyBorder="1" applyAlignment="1">
      <alignment vertical="center"/>
    </xf>
    <xf numFmtId="38" fontId="18" fillId="4" borderId="11" xfId="0" applyNumberFormat="1" applyFont="1" applyFill="1" applyBorder="1" applyAlignment="1">
      <alignment vertical="center"/>
    </xf>
    <xf numFmtId="38" fontId="19" fillId="4" borderId="12" xfId="0" applyNumberFormat="1" applyFont="1" applyFill="1" applyBorder="1" applyAlignment="1">
      <alignment vertical="center"/>
    </xf>
    <xf numFmtId="38" fontId="20" fillId="4" borderId="10" xfId="1" applyFont="1" applyFill="1" applyBorder="1">
      <alignment vertical="center"/>
    </xf>
    <xf numFmtId="38" fontId="18" fillId="4" borderId="38" xfId="0" applyNumberFormat="1" applyFont="1" applyFill="1" applyBorder="1" applyAlignment="1">
      <alignment vertical="center"/>
    </xf>
    <xf numFmtId="38" fontId="20" fillId="4" borderId="10" xfId="0" applyNumberFormat="1" applyFont="1" applyFill="1" applyBorder="1" applyAlignment="1">
      <alignment vertical="center"/>
    </xf>
    <xf numFmtId="38" fontId="20" fillId="4" borderId="40" xfId="1" applyFont="1" applyFill="1" applyBorder="1">
      <alignment vertical="center"/>
    </xf>
    <xf numFmtId="176" fontId="15" fillId="4" borderId="22" xfId="2" applyNumberFormat="1" applyFont="1" applyFill="1" applyBorder="1" applyAlignment="1">
      <alignment horizontal="center" vertical="center"/>
    </xf>
    <xf numFmtId="176" fontId="15" fillId="4" borderId="23" xfId="2" applyNumberFormat="1" applyFont="1" applyFill="1" applyBorder="1">
      <alignment vertical="center"/>
    </xf>
    <xf numFmtId="176" fontId="15" fillId="4" borderId="24" xfId="2" applyNumberFormat="1" applyFont="1" applyFill="1" applyBorder="1">
      <alignment vertical="center"/>
    </xf>
    <xf numFmtId="176" fontId="16" fillId="4" borderId="10" xfId="2" applyNumberFormat="1" applyFont="1" applyFill="1" applyBorder="1">
      <alignment vertical="center"/>
    </xf>
    <xf numFmtId="176" fontId="15" fillId="4" borderId="41" xfId="2" applyNumberFormat="1" applyFont="1" applyFill="1" applyBorder="1">
      <alignment vertical="center"/>
    </xf>
    <xf numFmtId="176" fontId="16" fillId="4" borderId="39" xfId="2" applyNumberFormat="1" applyFont="1" applyFill="1" applyBorder="1">
      <alignment vertical="center"/>
    </xf>
    <xf numFmtId="0" fontId="10" fillId="4" borderId="42" xfId="0" applyFont="1" applyFill="1" applyBorder="1" applyAlignment="1">
      <alignment horizontal="center" vertical="center" textRotation="255"/>
    </xf>
    <xf numFmtId="0" fontId="10" fillId="4" borderId="14" xfId="0" applyFont="1" applyFill="1" applyBorder="1" applyAlignment="1">
      <alignment horizontal="center" vertical="center"/>
    </xf>
    <xf numFmtId="176" fontId="10" fillId="4" borderId="15" xfId="2" applyNumberFormat="1" applyFont="1" applyFill="1" applyBorder="1">
      <alignment vertical="center"/>
    </xf>
    <xf numFmtId="176" fontId="10" fillId="4" borderId="16" xfId="2" applyNumberFormat="1" applyFont="1" applyFill="1" applyBorder="1">
      <alignment vertical="center"/>
    </xf>
    <xf numFmtId="176" fontId="9" fillId="4" borderId="14" xfId="2" applyNumberFormat="1" applyFont="1" applyFill="1" applyBorder="1">
      <alignment vertical="center"/>
    </xf>
    <xf numFmtId="176" fontId="10" fillId="4" borderId="43" xfId="2" applyNumberFormat="1" applyFont="1" applyFill="1" applyBorder="1">
      <alignment vertical="center"/>
    </xf>
    <xf numFmtId="176" fontId="9" fillId="4" borderId="44" xfId="2" applyNumberFormat="1" applyFont="1" applyFill="1" applyBorder="1">
      <alignment vertical="center"/>
    </xf>
    <xf numFmtId="0" fontId="10" fillId="4" borderId="45" xfId="0" applyFont="1" applyFill="1" applyBorder="1" applyAlignment="1">
      <alignment horizontal="center" vertical="center" textRotation="255"/>
    </xf>
    <xf numFmtId="38" fontId="10" fillId="4" borderId="6" xfId="1" applyFont="1" applyFill="1" applyBorder="1" applyAlignment="1">
      <alignment horizontal="center" vertical="center"/>
    </xf>
    <xf numFmtId="38" fontId="10" fillId="4" borderId="8" xfId="1" applyFont="1" applyFill="1" applyBorder="1">
      <alignment vertical="center"/>
    </xf>
    <xf numFmtId="38" fontId="10" fillId="4" borderId="7" xfId="1" applyFont="1" applyFill="1" applyBorder="1">
      <alignment vertical="center"/>
    </xf>
    <xf numFmtId="38" fontId="9" fillId="4" borderId="6" xfId="1" applyFont="1" applyFill="1" applyBorder="1">
      <alignment vertical="center"/>
    </xf>
    <xf numFmtId="38" fontId="10" fillId="4" borderId="46" xfId="1" applyFont="1" applyFill="1" applyBorder="1">
      <alignment vertical="center"/>
    </xf>
    <xf numFmtId="38" fontId="9" fillId="4" borderId="45" xfId="1" applyFont="1" applyFill="1" applyBorder="1">
      <alignment vertical="center"/>
    </xf>
    <xf numFmtId="38" fontId="9" fillId="4" borderId="2" xfId="1" applyFont="1" applyFill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tabSelected="1" workbookViewId="0">
      <selection activeCell="G7" sqref="G7"/>
    </sheetView>
  </sheetViews>
  <sheetFormatPr defaultColWidth="9" defaultRowHeight="15.75"/>
  <cols>
    <col min="1" max="1" width="3.75" style="4" customWidth="1"/>
    <col min="2" max="3" width="20.375" style="4" customWidth="1"/>
    <col min="4" max="8" width="17.875" style="4" customWidth="1"/>
    <col min="9" max="9" width="17.875" style="3" customWidth="1"/>
    <col min="10" max="15" width="17.875" style="4" customWidth="1"/>
    <col min="16" max="17" width="17.875" style="3" customWidth="1"/>
    <col min="18" max="16384" width="9" style="4"/>
  </cols>
  <sheetData>
    <row r="1" spans="1:17" s="1" customFormat="1" ht="24">
      <c r="B1" s="1" t="s">
        <v>0</v>
      </c>
      <c r="L1" s="2"/>
      <c r="M1" s="3"/>
      <c r="N1" s="2"/>
    </row>
    <row r="2" spans="1:17" ht="21" customHeight="1" thickBot="1">
      <c r="C2" s="5"/>
      <c r="G2" s="3"/>
      <c r="H2" s="3"/>
      <c r="I2" s="5"/>
      <c r="L2" s="5"/>
      <c r="M2" s="5"/>
      <c r="N2" s="5"/>
      <c r="O2" s="5"/>
    </row>
    <row r="3" spans="1:17" ht="36" customHeight="1" thickBot="1">
      <c r="A3" s="6" t="s">
        <v>1</v>
      </c>
      <c r="B3" s="7"/>
      <c r="C3" s="8">
        <v>46204</v>
      </c>
      <c r="D3" s="9">
        <v>46235</v>
      </c>
      <c r="E3" s="9">
        <v>46266</v>
      </c>
      <c r="F3" s="9">
        <v>46296</v>
      </c>
      <c r="G3" s="9">
        <v>46327</v>
      </c>
      <c r="H3" s="9">
        <v>46357</v>
      </c>
      <c r="I3" s="10" t="s">
        <v>2</v>
      </c>
      <c r="J3" s="9">
        <v>46388</v>
      </c>
      <c r="K3" s="9">
        <v>46419</v>
      </c>
      <c r="L3" s="9">
        <v>46447</v>
      </c>
      <c r="M3" s="9">
        <v>46478</v>
      </c>
      <c r="N3" s="9">
        <v>46508</v>
      </c>
      <c r="O3" s="9">
        <v>46539</v>
      </c>
      <c r="P3" s="11" t="s">
        <v>3</v>
      </c>
      <c r="Q3" s="12" t="s">
        <v>4</v>
      </c>
    </row>
    <row r="4" spans="1:17" s="18" customFormat="1" ht="19.899999999999999" customHeight="1">
      <c r="A4" s="13" t="s">
        <v>5</v>
      </c>
      <c r="B4" s="14" t="s">
        <v>6</v>
      </c>
      <c r="C4" s="15">
        <v>17173</v>
      </c>
      <c r="D4" s="15">
        <v>14590</v>
      </c>
      <c r="E4" s="15">
        <v>13977</v>
      </c>
      <c r="F4" s="15">
        <v>13301</v>
      </c>
      <c r="G4" s="15">
        <v>8461</v>
      </c>
      <c r="H4" s="15">
        <v>20214</v>
      </c>
      <c r="I4" s="16">
        <f>C4+D4+E4+F4+G4+H4</f>
        <v>87716</v>
      </c>
      <c r="J4" s="15">
        <v>20000</v>
      </c>
      <c r="K4" s="15">
        <v>20000</v>
      </c>
      <c r="L4" s="15">
        <v>20000</v>
      </c>
      <c r="M4" s="15">
        <v>20000</v>
      </c>
      <c r="N4" s="15">
        <v>18000</v>
      </c>
      <c r="O4" s="15">
        <v>18000</v>
      </c>
      <c r="P4" s="16">
        <f>J4+K4+L4+M4+N4+O4</f>
        <v>116000</v>
      </c>
      <c r="Q4" s="17">
        <f>I4+P4</f>
        <v>203716</v>
      </c>
    </row>
    <row r="5" spans="1:17" s="24" customFormat="1" ht="19.899999999999999" customHeight="1">
      <c r="A5" s="19"/>
      <c r="B5" s="20" t="s">
        <v>7</v>
      </c>
      <c r="C5" s="21">
        <v>17173</v>
      </c>
      <c r="D5" s="21">
        <v>14590</v>
      </c>
      <c r="E5" s="21">
        <v>13977</v>
      </c>
      <c r="F5" s="21">
        <v>13301</v>
      </c>
      <c r="G5" s="21">
        <v>8461</v>
      </c>
      <c r="H5" s="21">
        <v>20214</v>
      </c>
      <c r="I5" s="22">
        <f>C5+D5+E5+F5+G5+H5</f>
        <v>87716</v>
      </c>
      <c r="J5" s="21">
        <v>18358</v>
      </c>
      <c r="K5" s="21">
        <v>11718</v>
      </c>
      <c r="L5" s="21">
        <v>9913</v>
      </c>
      <c r="M5" s="21">
        <v>7458</v>
      </c>
      <c r="N5" s="21">
        <v>5261</v>
      </c>
      <c r="O5" s="21">
        <v>8531</v>
      </c>
      <c r="P5" s="22">
        <f>J5+K5+L5+M5+N5+O5</f>
        <v>61239</v>
      </c>
      <c r="Q5" s="23">
        <f>I5+P5</f>
        <v>148955</v>
      </c>
    </row>
    <row r="6" spans="1:17" s="29" customFormat="1" ht="19.899999999999999" customHeight="1">
      <c r="A6" s="19"/>
      <c r="B6" s="25" t="s">
        <v>8</v>
      </c>
      <c r="C6" s="26">
        <v>8000</v>
      </c>
      <c r="D6" s="26">
        <v>8000</v>
      </c>
      <c r="E6" s="26">
        <v>7000</v>
      </c>
      <c r="F6" s="26">
        <v>7000</v>
      </c>
      <c r="G6" s="26">
        <v>7040</v>
      </c>
      <c r="H6" s="26">
        <v>8000</v>
      </c>
      <c r="I6" s="27">
        <f>C6+D6+E6+F6+G6+H6</f>
        <v>45040</v>
      </c>
      <c r="J6" s="26">
        <v>6500</v>
      </c>
      <c r="K6" s="26">
        <v>6500</v>
      </c>
      <c r="L6" s="26">
        <v>6500</v>
      </c>
      <c r="M6" s="26">
        <v>5000</v>
      </c>
      <c r="N6" s="26">
        <v>5000</v>
      </c>
      <c r="O6" s="26">
        <v>5460</v>
      </c>
      <c r="P6" s="27">
        <f>J6+K6+L6+M6+N6+O6</f>
        <v>34960</v>
      </c>
      <c r="Q6" s="28">
        <f>I6+P6</f>
        <v>80000</v>
      </c>
    </row>
    <row r="7" spans="1:17" s="36" customFormat="1" ht="19.899999999999999" customHeight="1">
      <c r="A7" s="19"/>
      <c r="B7" s="30" t="s">
        <v>9</v>
      </c>
      <c r="C7" s="31"/>
      <c r="D7" s="31"/>
      <c r="E7" s="31"/>
      <c r="F7" s="32"/>
      <c r="G7" s="31"/>
      <c r="H7" s="31"/>
      <c r="I7" s="33">
        <f>SUM(C7:H7)</f>
        <v>0</v>
      </c>
      <c r="J7" s="31"/>
      <c r="K7" s="31"/>
      <c r="L7" s="31"/>
      <c r="M7" s="31"/>
      <c r="N7" s="31"/>
      <c r="O7" s="31"/>
      <c r="P7" s="34">
        <f>SUM(J7:O7)</f>
        <v>0</v>
      </c>
      <c r="Q7" s="35">
        <f>I7+P7</f>
        <v>0</v>
      </c>
    </row>
    <row r="8" spans="1:17" s="41" customFormat="1" ht="19.899999999999999" customHeight="1">
      <c r="A8" s="19"/>
      <c r="B8" s="37" t="s">
        <v>10</v>
      </c>
      <c r="C8" s="38">
        <f t="shared" ref="C8:Q8" si="0">C7/C5</f>
        <v>0</v>
      </c>
      <c r="D8" s="38">
        <f t="shared" si="0"/>
        <v>0</v>
      </c>
      <c r="E8" s="38">
        <f t="shared" si="0"/>
        <v>0</v>
      </c>
      <c r="F8" s="38">
        <f t="shared" si="0"/>
        <v>0</v>
      </c>
      <c r="G8" s="38">
        <f t="shared" si="0"/>
        <v>0</v>
      </c>
      <c r="H8" s="38">
        <f t="shared" si="0"/>
        <v>0</v>
      </c>
      <c r="I8" s="39">
        <f t="shared" si="0"/>
        <v>0</v>
      </c>
      <c r="J8" s="38">
        <f t="shared" si="0"/>
        <v>0</v>
      </c>
      <c r="K8" s="38">
        <f t="shared" si="0"/>
        <v>0</v>
      </c>
      <c r="L8" s="38">
        <f t="shared" si="0"/>
        <v>0</v>
      </c>
      <c r="M8" s="38">
        <f t="shared" si="0"/>
        <v>0</v>
      </c>
      <c r="N8" s="38">
        <f t="shared" si="0"/>
        <v>0</v>
      </c>
      <c r="O8" s="38">
        <f t="shared" si="0"/>
        <v>0</v>
      </c>
      <c r="P8" s="39">
        <f t="shared" si="0"/>
        <v>0</v>
      </c>
      <c r="Q8" s="40">
        <f t="shared" si="0"/>
        <v>0</v>
      </c>
    </row>
    <row r="9" spans="1:17" s="18" customFormat="1" ht="19.899999999999999" customHeight="1" thickBot="1">
      <c r="A9" s="42"/>
      <c r="B9" s="43" t="s">
        <v>11</v>
      </c>
      <c r="C9" s="44">
        <f t="shared" ref="C9:O9" si="1">C7/C6</f>
        <v>0</v>
      </c>
      <c r="D9" s="44">
        <f t="shared" si="1"/>
        <v>0</v>
      </c>
      <c r="E9" s="44">
        <f t="shared" si="1"/>
        <v>0</v>
      </c>
      <c r="F9" s="44">
        <f t="shared" si="1"/>
        <v>0</v>
      </c>
      <c r="G9" s="44">
        <f t="shared" si="1"/>
        <v>0</v>
      </c>
      <c r="H9" s="44">
        <f t="shared" si="1"/>
        <v>0</v>
      </c>
      <c r="I9" s="45">
        <f t="shared" si="1"/>
        <v>0</v>
      </c>
      <c r="J9" s="44">
        <f t="shared" si="1"/>
        <v>0</v>
      </c>
      <c r="K9" s="44">
        <f t="shared" si="1"/>
        <v>0</v>
      </c>
      <c r="L9" s="44">
        <f t="shared" si="1"/>
        <v>0</v>
      </c>
      <c r="M9" s="44">
        <f t="shared" si="1"/>
        <v>0</v>
      </c>
      <c r="N9" s="44">
        <f t="shared" si="1"/>
        <v>0</v>
      </c>
      <c r="O9" s="44">
        <f t="shared" si="1"/>
        <v>0</v>
      </c>
      <c r="P9" s="45">
        <f>P7/P6</f>
        <v>0</v>
      </c>
      <c r="Q9" s="46">
        <f>Q7/Q6</f>
        <v>0</v>
      </c>
    </row>
    <row r="10" spans="1:17" s="18" customFormat="1" ht="20.100000000000001" customHeight="1">
      <c r="A10" s="47" t="s">
        <v>12</v>
      </c>
      <c r="B10" s="48" t="s">
        <v>6</v>
      </c>
      <c r="C10" s="49">
        <v>13864</v>
      </c>
      <c r="D10" s="49">
        <v>13047</v>
      </c>
      <c r="E10" s="49">
        <v>15205</v>
      </c>
      <c r="F10" s="49">
        <v>14837</v>
      </c>
      <c r="G10" s="49">
        <v>12314</v>
      </c>
      <c r="H10" s="49">
        <v>13192</v>
      </c>
      <c r="I10" s="50">
        <f>C10+D10+E10+F10+G10+H10</f>
        <v>82459</v>
      </c>
      <c r="J10" s="49">
        <v>14000</v>
      </c>
      <c r="K10" s="49">
        <v>12000</v>
      </c>
      <c r="L10" s="49">
        <v>12000</v>
      </c>
      <c r="M10" s="49">
        <v>11000</v>
      </c>
      <c r="N10" s="49">
        <v>11000</v>
      </c>
      <c r="O10" s="49">
        <v>11000</v>
      </c>
      <c r="P10" s="50">
        <f>J10+K10+L10+M10+N10+O10</f>
        <v>71000</v>
      </c>
      <c r="Q10" s="51">
        <f>I10+P10</f>
        <v>153459</v>
      </c>
    </row>
    <row r="11" spans="1:17" s="18" customFormat="1" ht="20.100000000000001" customHeight="1">
      <c r="A11" s="19"/>
      <c r="B11" s="20" t="s">
        <v>7</v>
      </c>
      <c r="C11" s="52">
        <v>13864</v>
      </c>
      <c r="D11" s="52">
        <v>13047</v>
      </c>
      <c r="E11" s="52">
        <v>15205</v>
      </c>
      <c r="F11" s="52">
        <v>14837</v>
      </c>
      <c r="G11" s="52">
        <v>12314</v>
      </c>
      <c r="H11" s="52">
        <v>13192</v>
      </c>
      <c r="I11" s="22">
        <f>C11+D11+E11+F11+G11+H11</f>
        <v>82459</v>
      </c>
      <c r="J11" s="52">
        <v>16099</v>
      </c>
      <c r="K11" s="52">
        <v>9067</v>
      </c>
      <c r="L11" s="53">
        <v>15248</v>
      </c>
      <c r="M11" s="53">
        <v>12584</v>
      </c>
      <c r="N11" s="53">
        <v>10313</v>
      </c>
      <c r="O11" s="53">
        <v>12484</v>
      </c>
      <c r="P11" s="22">
        <f>J11+K11+L11+M11+N11+O11</f>
        <v>75795</v>
      </c>
      <c r="Q11" s="23">
        <f>I11+P11</f>
        <v>158254</v>
      </c>
    </row>
    <row r="12" spans="1:17" s="18" customFormat="1" ht="20.100000000000001" customHeight="1">
      <c r="A12" s="19"/>
      <c r="B12" s="25" t="s">
        <v>8</v>
      </c>
      <c r="C12" s="26">
        <v>15500</v>
      </c>
      <c r="D12" s="26">
        <v>15000</v>
      </c>
      <c r="E12" s="26">
        <v>16000</v>
      </c>
      <c r="F12" s="26">
        <v>16000</v>
      </c>
      <c r="G12" s="26">
        <v>15500</v>
      </c>
      <c r="H12" s="26">
        <v>17710</v>
      </c>
      <c r="I12" s="27">
        <f>C12+D12+E12+F12+G12+H12</f>
        <v>95710</v>
      </c>
      <c r="J12" s="26">
        <v>13000</v>
      </c>
      <c r="K12" s="26">
        <v>13000</v>
      </c>
      <c r="L12" s="26">
        <v>13000</v>
      </c>
      <c r="M12" s="26">
        <v>12000</v>
      </c>
      <c r="N12" s="26">
        <v>11290</v>
      </c>
      <c r="O12" s="26">
        <v>12000</v>
      </c>
      <c r="P12" s="27">
        <f>J12+K12+L12+M12+N12+O12</f>
        <v>74290</v>
      </c>
      <c r="Q12" s="28">
        <f>I12+P12</f>
        <v>170000</v>
      </c>
    </row>
    <row r="13" spans="1:17" s="18" customFormat="1" ht="20.100000000000001" customHeight="1">
      <c r="A13" s="19"/>
      <c r="B13" s="30" t="s">
        <v>9</v>
      </c>
      <c r="C13" s="31">
        <v>16799</v>
      </c>
      <c r="D13" s="31">
        <v>14887</v>
      </c>
      <c r="E13" s="31"/>
      <c r="F13" s="31"/>
      <c r="G13" s="31"/>
      <c r="H13" s="31"/>
      <c r="I13" s="33">
        <f>SUM(C13:H13)</f>
        <v>31686</v>
      </c>
      <c r="J13" s="31"/>
      <c r="K13" s="31"/>
      <c r="L13" s="31"/>
      <c r="M13" s="31"/>
      <c r="N13" s="31"/>
      <c r="O13" s="31"/>
      <c r="P13" s="34">
        <f>SUM(J13:O13)</f>
        <v>0</v>
      </c>
      <c r="Q13" s="35">
        <f>I13+P13</f>
        <v>31686</v>
      </c>
    </row>
    <row r="14" spans="1:17" s="18" customFormat="1" ht="20.100000000000001" customHeight="1">
      <c r="A14" s="19"/>
      <c r="B14" s="37" t="s">
        <v>10</v>
      </c>
      <c r="C14" s="38">
        <f t="shared" ref="C14:Q14" si="2">C13/C11</f>
        <v>1.2116993652625505</v>
      </c>
      <c r="D14" s="38">
        <f t="shared" si="2"/>
        <v>1.1410285889476508</v>
      </c>
      <c r="E14" s="38">
        <f t="shared" si="2"/>
        <v>0</v>
      </c>
      <c r="F14" s="38">
        <f t="shared" si="2"/>
        <v>0</v>
      </c>
      <c r="G14" s="38">
        <f t="shared" si="2"/>
        <v>0</v>
      </c>
      <c r="H14" s="38">
        <f t="shared" si="2"/>
        <v>0</v>
      </c>
      <c r="I14" s="39">
        <f t="shared" si="2"/>
        <v>0.38426369468463117</v>
      </c>
      <c r="J14" s="38">
        <f t="shared" si="2"/>
        <v>0</v>
      </c>
      <c r="K14" s="38">
        <f t="shared" si="2"/>
        <v>0</v>
      </c>
      <c r="L14" s="38">
        <f t="shared" si="2"/>
        <v>0</v>
      </c>
      <c r="M14" s="38">
        <f t="shared" si="2"/>
        <v>0</v>
      </c>
      <c r="N14" s="38">
        <f t="shared" si="2"/>
        <v>0</v>
      </c>
      <c r="O14" s="38">
        <f t="shared" si="2"/>
        <v>0</v>
      </c>
      <c r="P14" s="39">
        <f t="shared" si="2"/>
        <v>0</v>
      </c>
      <c r="Q14" s="40">
        <f t="shared" si="2"/>
        <v>0.20022242723722622</v>
      </c>
    </row>
    <row r="15" spans="1:17" s="18" customFormat="1" ht="20.100000000000001" customHeight="1" thickBot="1">
      <c r="A15" s="54"/>
      <c r="B15" s="55" t="s">
        <v>11</v>
      </c>
      <c r="C15" s="56">
        <f t="shared" ref="C15:O15" si="3">C13/C12</f>
        <v>1.0838064516129031</v>
      </c>
      <c r="D15" s="56">
        <f t="shared" si="3"/>
        <v>0.99246666666666672</v>
      </c>
      <c r="E15" s="56">
        <f t="shared" si="3"/>
        <v>0</v>
      </c>
      <c r="F15" s="56">
        <f t="shared" si="3"/>
        <v>0</v>
      </c>
      <c r="G15" s="56">
        <f t="shared" si="3"/>
        <v>0</v>
      </c>
      <c r="H15" s="56">
        <f t="shared" si="3"/>
        <v>0</v>
      </c>
      <c r="I15" s="57">
        <f t="shared" si="3"/>
        <v>0.33106258489186086</v>
      </c>
      <c r="J15" s="56">
        <f t="shared" si="3"/>
        <v>0</v>
      </c>
      <c r="K15" s="56">
        <f t="shared" si="3"/>
        <v>0</v>
      </c>
      <c r="L15" s="56">
        <f t="shared" si="3"/>
        <v>0</v>
      </c>
      <c r="M15" s="56">
        <f t="shared" si="3"/>
        <v>0</v>
      </c>
      <c r="N15" s="56">
        <f t="shared" si="3"/>
        <v>0</v>
      </c>
      <c r="O15" s="56">
        <f t="shared" si="3"/>
        <v>0</v>
      </c>
      <c r="P15" s="57">
        <f>P13/P12</f>
        <v>0</v>
      </c>
      <c r="Q15" s="58">
        <f>Q13/Q12</f>
        <v>0.18638823529411766</v>
      </c>
    </row>
    <row r="16" spans="1:17" s="18" customFormat="1" ht="20.100000000000001" customHeight="1">
      <c r="A16" s="59" t="s">
        <v>13</v>
      </c>
      <c r="B16" s="14" t="s">
        <v>6</v>
      </c>
      <c r="C16" s="15">
        <v>8588</v>
      </c>
      <c r="D16" s="15">
        <v>4933</v>
      </c>
      <c r="E16" s="15">
        <v>8431</v>
      </c>
      <c r="F16" s="15">
        <v>11734</v>
      </c>
      <c r="G16" s="15">
        <v>8170</v>
      </c>
      <c r="H16" s="15">
        <v>11486</v>
      </c>
      <c r="I16" s="16">
        <f>C16+D16+E16+F16+G16+H16</f>
        <v>53342</v>
      </c>
      <c r="J16" s="15">
        <v>10000</v>
      </c>
      <c r="K16" s="15">
        <v>10000</v>
      </c>
      <c r="L16" s="15">
        <v>10000</v>
      </c>
      <c r="M16" s="15">
        <v>9000</v>
      </c>
      <c r="N16" s="15">
        <v>9000</v>
      </c>
      <c r="O16" s="15">
        <v>9000</v>
      </c>
      <c r="P16" s="16">
        <f>J16+K16+L16+M16+N16+O16</f>
        <v>57000</v>
      </c>
      <c r="Q16" s="17">
        <f>I16+P16</f>
        <v>110342</v>
      </c>
    </row>
    <row r="17" spans="1:17" s="24" customFormat="1" ht="19.5" customHeight="1">
      <c r="A17" s="60"/>
      <c r="B17" s="20" t="s">
        <v>7</v>
      </c>
      <c r="C17" s="21">
        <v>8588</v>
      </c>
      <c r="D17" s="21">
        <v>4933</v>
      </c>
      <c r="E17" s="21">
        <v>8431</v>
      </c>
      <c r="F17" s="21">
        <v>11734</v>
      </c>
      <c r="G17" s="21">
        <v>8170</v>
      </c>
      <c r="H17" s="21">
        <v>11486</v>
      </c>
      <c r="I17" s="22">
        <f>C17+D17+E17+F17+G17+H17</f>
        <v>53342</v>
      </c>
      <c r="J17" s="21">
        <v>10000</v>
      </c>
      <c r="K17" s="21">
        <v>8799</v>
      </c>
      <c r="L17" s="21">
        <v>13277</v>
      </c>
      <c r="M17" s="21">
        <v>8696</v>
      </c>
      <c r="N17" s="21">
        <v>8305</v>
      </c>
      <c r="O17" s="21">
        <v>9275</v>
      </c>
      <c r="P17" s="22">
        <f>J17+K17+L17+M17+N17+O17</f>
        <v>58352</v>
      </c>
      <c r="Q17" s="23">
        <f>I17+P17</f>
        <v>111694</v>
      </c>
    </row>
    <row r="18" spans="1:17" s="29" customFormat="1" ht="20.100000000000001" customHeight="1">
      <c r="A18" s="60"/>
      <c r="B18" s="25" t="s">
        <v>8</v>
      </c>
      <c r="C18" s="26">
        <v>14450</v>
      </c>
      <c r="D18" s="26">
        <v>15000</v>
      </c>
      <c r="E18" s="26">
        <v>15040</v>
      </c>
      <c r="F18" s="26">
        <v>15040</v>
      </c>
      <c r="G18" s="26">
        <v>15040</v>
      </c>
      <c r="H18" s="26">
        <v>15040</v>
      </c>
      <c r="I18" s="27">
        <f>C18+D18+E18+F18+G18+H18</f>
        <v>89610</v>
      </c>
      <c r="J18" s="26">
        <v>11847</v>
      </c>
      <c r="K18" s="26">
        <v>11840</v>
      </c>
      <c r="L18" s="26">
        <v>12390</v>
      </c>
      <c r="M18" s="26">
        <v>11260</v>
      </c>
      <c r="N18" s="26">
        <v>11260</v>
      </c>
      <c r="O18" s="26">
        <v>11760</v>
      </c>
      <c r="P18" s="27">
        <f>J18+K18+L18+M18+N18+O18</f>
        <v>70357</v>
      </c>
      <c r="Q18" s="28">
        <f>I18+P18</f>
        <v>159967</v>
      </c>
    </row>
    <row r="19" spans="1:17" s="18" customFormat="1" ht="20.100000000000001" customHeight="1">
      <c r="A19" s="60"/>
      <c r="B19" s="30" t="s">
        <v>9</v>
      </c>
      <c r="C19" s="31"/>
      <c r="D19" s="31"/>
      <c r="E19" s="31"/>
      <c r="F19" s="32"/>
      <c r="G19" s="31"/>
      <c r="H19" s="32"/>
      <c r="I19" s="33">
        <f>SUM(C19:H19)</f>
        <v>0</v>
      </c>
      <c r="J19" s="31"/>
      <c r="K19" s="31"/>
      <c r="L19" s="31"/>
      <c r="M19" s="31"/>
      <c r="N19" s="31"/>
      <c r="O19" s="31"/>
      <c r="P19" s="34">
        <f>SUM(J19:O19)</f>
        <v>0</v>
      </c>
      <c r="Q19" s="35">
        <f>I19+P19</f>
        <v>0</v>
      </c>
    </row>
    <row r="20" spans="1:17" s="61" customFormat="1" ht="20.100000000000001" customHeight="1">
      <c r="A20" s="60"/>
      <c r="B20" s="37" t="s">
        <v>10</v>
      </c>
      <c r="C20" s="38">
        <f t="shared" ref="C20:Q20" si="4">C19/C17</f>
        <v>0</v>
      </c>
      <c r="D20" s="38">
        <f t="shared" si="4"/>
        <v>0</v>
      </c>
      <c r="E20" s="38">
        <f t="shared" si="4"/>
        <v>0</v>
      </c>
      <c r="F20" s="38">
        <f t="shared" si="4"/>
        <v>0</v>
      </c>
      <c r="G20" s="38">
        <f t="shared" si="4"/>
        <v>0</v>
      </c>
      <c r="H20" s="38">
        <f t="shared" si="4"/>
        <v>0</v>
      </c>
      <c r="I20" s="39">
        <f t="shared" si="4"/>
        <v>0</v>
      </c>
      <c r="J20" s="38">
        <f t="shared" si="4"/>
        <v>0</v>
      </c>
      <c r="K20" s="38">
        <f t="shared" si="4"/>
        <v>0</v>
      </c>
      <c r="L20" s="38">
        <f t="shared" si="4"/>
        <v>0</v>
      </c>
      <c r="M20" s="38">
        <f t="shared" si="4"/>
        <v>0</v>
      </c>
      <c r="N20" s="38">
        <f t="shared" si="4"/>
        <v>0</v>
      </c>
      <c r="O20" s="38">
        <f t="shared" si="4"/>
        <v>0</v>
      </c>
      <c r="P20" s="39">
        <f t="shared" si="4"/>
        <v>0</v>
      </c>
      <c r="Q20" s="40">
        <f t="shared" si="4"/>
        <v>0</v>
      </c>
    </row>
    <row r="21" spans="1:17" s="18" customFormat="1" ht="20.100000000000001" customHeight="1" thickBot="1">
      <c r="A21" s="62"/>
      <c r="B21" s="43" t="s">
        <v>11</v>
      </c>
      <c r="C21" s="44">
        <f t="shared" ref="C21:O21" si="5">C19/C18</f>
        <v>0</v>
      </c>
      <c r="D21" s="44">
        <f t="shared" si="5"/>
        <v>0</v>
      </c>
      <c r="E21" s="44">
        <f t="shared" si="5"/>
        <v>0</v>
      </c>
      <c r="F21" s="44">
        <f t="shared" si="5"/>
        <v>0</v>
      </c>
      <c r="G21" s="44">
        <f t="shared" si="5"/>
        <v>0</v>
      </c>
      <c r="H21" s="44">
        <f t="shared" si="5"/>
        <v>0</v>
      </c>
      <c r="I21" s="45">
        <f t="shared" si="5"/>
        <v>0</v>
      </c>
      <c r="J21" s="44">
        <f t="shared" si="5"/>
        <v>0</v>
      </c>
      <c r="K21" s="44">
        <f t="shared" si="5"/>
        <v>0</v>
      </c>
      <c r="L21" s="44">
        <f t="shared" si="5"/>
        <v>0</v>
      </c>
      <c r="M21" s="44">
        <f t="shared" si="5"/>
        <v>0</v>
      </c>
      <c r="N21" s="44">
        <f t="shared" si="5"/>
        <v>0</v>
      </c>
      <c r="O21" s="44">
        <f t="shared" si="5"/>
        <v>0</v>
      </c>
      <c r="P21" s="45">
        <f>P19/P18</f>
        <v>0</v>
      </c>
      <c r="Q21" s="46">
        <f>Q19/Q18</f>
        <v>0</v>
      </c>
    </row>
    <row r="22" spans="1:17" s="18" customFormat="1" ht="19.899999999999999" customHeight="1">
      <c r="A22" s="63" t="s">
        <v>14</v>
      </c>
      <c r="B22" s="48" t="s">
        <v>6</v>
      </c>
      <c r="C22" s="64"/>
      <c r="D22" s="64"/>
      <c r="E22" s="64"/>
      <c r="F22" s="64"/>
      <c r="G22" s="64"/>
      <c r="H22" s="64"/>
      <c r="I22" s="50"/>
      <c r="J22" s="64">
        <v>1000</v>
      </c>
      <c r="K22" s="64">
        <v>1000</v>
      </c>
      <c r="L22" s="64">
        <v>2000</v>
      </c>
      <c r="M22" s="64">
        <v>2000</v>
      </c>
      <c r="N22" s="64">
        <v>3000</v>
      </c>
      <c r="O22" s="64">
        <v>3000</v>
      </c>
      <c r="P22" s="50">
        <f>J22+K22+L22+M22+N22+O22</f>
        <v>12000</v>
      </c>
      <c r="Q22" s="51">
        <f>I22+P22</f>
        <v>12000</v>
      </c>
    </row>
    <row r="23" spans="1:17" s="18" customFormat="1" ht="19.899999999999999" customHeight="1">
      <c r="A23" s="19"/>
      <c r="B23" s="20" t="s">
        <v>7</v>
      </c>
      <c r="C23" s="21"/>
      <c r="D23" s="21"/>
      <c r="E23" s="21"/>
      <c r="F23" s="21"/>
      <c r="G23" s="21"/>
      <c r="H23" s="21"/>
      <c r="I23" s="22">
        <f>C23+D23+E23+F23+G23+H23</f>
        <v>0</v>
      </c>
      <c r="J23" s="21">
        <v>623</v>
      </c>
      <c r="K23" s="21">
        <v>561</v>
      </c>
      <c r="L23" s="21">
        <v>326</v>
      </c>
      <c r="M23" s="21">
        <v>929</v>
      </c>
      <c r="N23" s="21">
        <v>297</v>
      </c>
      <c r="O23" s="21">
        <v>369</v>
      </c>
      <c r="P23" s="22">
        <f>J23+K23+L23+M23+N23+O23</f>
        <v>3105</v>
      </c>
      <c r="Q23" s="23">
        <f>I23+P23</f>
        <v>3105</v>
      </c>
    </row>
    <row r="24" spans="1:17" s="18" customFormat="1" ht="19.899999999999999" customHeight="1">
      <c r="A24" s="19"/>
      <c r="B24" s="25" t="s">
        <v>8</v>
      </c>
      <c r="C24" s="26">
        <v>11000</v>
      </c>
      <c r="D24" s="26">
        <v>15000</v>
      </c>
      <c r="E24" s="26">
        <v>13160</v>
      </c>
      <c r="F24" s="26">
        <v>13160</v>
      </c>
      <c r="G24" s="26">
        <v>14160</v>
      </c>
      <c r="H24" s="26">
        <v>16090</v>
      </c>
      <c r="I24" s="27">
        <f>C24+D24+E24+F24+G24+H24</f>
        <v>82570</v>
      </c>
      <c r="J24" s="26">
        <v>13388</v>
      </c>
      <c r="K24" s="26">
        <v>13360</v>
      </c>
      <c r="L24" s="26">
        <v>12360</v>
      </c>
      <c r="M24" s="26">
        <v>9040</v>
      </c>
      <c r="N24" s="26">
        <v>9040</v>
      </c>
      <c r="O24" s="26">
        <v>10110</v>
      </c>
      <c r="P24" s="27">
        <f>J24+K24+L24+M24+N24+O24</f>
        <v>67298</v>
      </c>
      <c r="Q24" s="28">
        <f>I24+P24</f>
        <v>149868</v>
      </c>
    </row>
    <row r="25" spans="1:17" s="18" customFormat="1" ht="19.899999999999999" customHeight="1">
      <c r="A25" s="19"/>
      <c r="B25" s="30" t="s">
        <v>9</v>
      </c>
      <c r="C25" s="31"/>
      <c r="D25" s="31"/>
      <c r="E25" s="31"/>
      <c r="F25" s="32"/>
      <c r="G25" s="31"/>
      <c r="H25" s="31"/>
      <c r="I25" s="33">
        <f>SUM(C25:H25)</f>
        <v>0</v>
      </c>
      <c r="J25" s="31"/>
      <c r="K25" s="31"/>
      <c r="L25" s="31"/>
      <c r="M25" s="31"/>
      <c r="N25" s="31"/>
      <c r="O25" s="31"/>
      <c r="P25" s="34">
        <f>SUM(J25:O25)</f>
        <v>0</v>
      </c>
      <c r="Q25" s="35">
        <f>I25+P25</f>
        <v>0</v>
      </c>
    </row>
    <row r="26" spans="1:17" s="18" customFormat="1" ht="19.899999999999999" customHeight="1">
      <c r="A26" s="19"/>
      <c r="B26" s="37" t="s">
        <v>10</v>
      </c>
      <c r="C26" s="38" t="e">
        <f t="shared" ref="C26:Q26" si="6">C25/C23</f>
        <v>#DIV/0!</v>
      </c>
      <c r="D26" s="38" t="e">
        <f t="shared" si="6"/>
        <v>#DIV/0!</v>
      </c>
      <c r="E26" s="38" t="e">
        <f t="shared" si="6"/>
        <v>#DIV/0!</v>
      </c>
      <c r="F26" s="38" t="e">
        <f t="shared" si="6"/>
        <v>#DIV/0!</v>
      </c>
      <c r="G26" s="38" t="e">
        <f t="shared" si="6"/>
        <v>#DIV/0!</v>
      </c>
      <c r="H26" s="38" t="e">
        <f t="shared" si="6"/>
        <v>#DIV/0!</v>
      </c>
      <c r="I26" s="39" t="e">
        <f t="shared" si="6"/>
        <v>#DIV/0!</v>
      </c>
      <c r="J26" s="38">
        <f t="shared" si="6"/>
        <v>0</v>
      </c>
      <c r="K26" s="38">
        <f t="shared" si="6"/>
        <v>0</v>
      </c>
      <c r="L26" s="38">
        <f t="shared" si="6"/>
        <v>0</v>
      </c>
      <c r="M26" s="38">
        <f t="shared" si="6"/>
        <v>0</v>
      </c>
      <c r="N26" s="38">
        <f t="shared" si="6"/>
        <v>0</v>
      </c>
      <c r="O26" s="38">
        <f t="shared" si="6"/>
        <v>0</v>
      </c>
      <c r="P26" s="39">
        <f t="shared" si="6"/>
        <v>0</v>
      </c>
      <c r="Q26" s="40">
        <f t="shared" si="6"/>
        <v>0</v>
      </c>
    </row>
    <row r="27" spans="1:17" s="18" customFormat="1" ht="19.899999999999999" customHeight="1" thickBot="1">
      <c r="A27" s="54"/>
      <c r="B27" s="55" t="s">
        <v>11</v>
      </c>
      <c r="C27" s="56">
        <f t="shared" ref="C27:O27" si="7">C25/C24</f>
        <v>0</v>
      </c>
      <c r="D27" s="56">
        <f t="shared" si="7"/>
        <v>0</v>
      </c>
      <c r="E27" s="56">
        <f t="shared" si="7"/>
        <v>0</v>
      </c>
      <c r="F27" s="56">
        <f t="shared" si="7"/>
        <v>0</v>
      </c>
      <c r="G27" s="56">
        <f t="shared" si="7"/>
        <v>0</v>
      </c>
      <c r="H27" s="56">
        <f t="shared" si="7"/>
        <v>0</v>
      </c>
      <c r="I27" s="57">
        <f t="shared" si="7"/>
        <v>0</v>
      </c>
      <c r="J27" s="56">
        <f t="shared" si="7"/>
        <v>0</v>
      </c>
      <c r="K27" s="56">
        <f t="shared" si="7"/>
        <v>0</v>
      </c>
      <c r="L27" s="56">
        <f t="shared" si="7"/>
        <v>0</v>
      </c>
      <c r="M27" s="56">
        <f t="shared" si="7"/>
        <v>0</v>
      </c>
      <c r="N27" s="56">
        <f t="shared" si="7"/>
        <v>0</v>
      </c>
      <c r="O27" s="56">
        <f t="shared" si="7"/>
        <v>0</v>
      </c>
      <c r="P27" s="57">
        <f>P25/P24</f>
        <v>0</v>
      </c>
      <c r="Q27" s="58">
        <f>Q25/Q24</f>
        <v>0</v>
      </c>
    </row>
    <row r="28" spans="1:17" s="18" customFormat="1" ht="20.100000000000001" customHeight="1">
      <c r="A28" s="13" t="s">
        <v>15</v>
      </c>
      <c r="B28" s="14" t="s">
        <v>6</v>
      </c>
      <c r="C28" s="15">
        <v>3568</v>
      </c>
      <c r="D28" s="15">
        <v>2784</v>
      </c>
      <c r="E28" s="15">
        <v>3429</v>
      </c>
      <c r="F28" s="15">
        <v>3319</v>
      </c>
      <c r="G28" s="15">
        <v>3510</v>
      </c>
      <c r="H28" s="15">
        <v>5540</v>
      </c>
      <c r="I28" s="16">
        <f>C28+D28+E28+F28+G28+H28</f>
        <v>22150</v>
      </c>
      <c r="J28" s="15">
        <v>5000</v>
      </c>
      <c r="K28" s="15">
        <v>5000</v>
      </c>
      <c r="L28" s="15">
        <v>5000</v>
      </c>
      <c r="M28" s="15">
        <v>5000</v>
      </c>
      <c r="N28" s="15">
        <v>5000</v>
      </c>
      <c r="O28" s="15">
        <v>5000</v>
      </c>
      <c r="P28" s="16">
        <f>J28+K28+L28+M28+N28+O28</f>
        <v>30000</v>
      </c>
      <c r="Q28" s="17">
        <f>I28+P28</f>
        <v>52150</v>
      </c>
    </row>
    <row r="29" spans="1:17" s="24" customFormat="1" ht="20.100000000000001" customHeight="1">
      <c r="A29" s="19"/>
      <c r="B29" s="20" t="s">
        <v>7</v>
      </c>
      <c r="C29" s="21">
        <v>3568</v>
      </c>
      <c r="D29" s="21">
        <v>2784</v>
      </c>
      <c r="E29" s="21">
        <v>3429</v>
      </c>
      <c r="F29" s="21">
        <v>3319</v>
      </c>
      <c r="G29" s="21">
        <v>3510</v>
      </c>
      <c r="H29" s="21">
        <v>5540</v>
      </c>
      <c r="I29" s="22">
        <f>C29+D29+E29+F29+G29+H29</f>
        <v>22150</v>
      </c>
      <c r="J29" s="21">
        <v>2731</v>
      </c>
      <c r="K29" s="21">
        <v>6999</v>
      </c>
      <c r="L29" s="21">
        <v>4284</v>
      </c>
      <c r="M29" s="21">
        <v>4364</v>
      </c>
      <c r="N29" s="21">
        <v>1588</v>
      </c>
      <c r="O29" s="21">
        <v>2417</v>
      </c>
      <c r="P29" s="22">
        <f>J29+K29+L29+M29+N29+O29</f>
        <v>22383</v>
      </c>
      <c r="Q29" s="23">
        <f>I29+P29</f>
        <v>44533</v>
      </c>
    </row>
    <row r="30" spans="1:17" s="29" customFormat="1" ht="20.100000000000001" customHeight="1">
      <c r="A30" s="19"/>
      <c r="B30" s="25" t="s">
        <v>8</v>
      </c>
      <c r="C30" s="26">
        <v>5165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7">
        <f>C30+D30+E30+F30+G30+H30</f>
        <v>5165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7">
        <f>J30+K30+L30+M30+N30+O30</f>
        <v>0</v>
      </c>
      <c r="Q30" s="28">
        <f>I30+P30</f>
        <v>5165</v>
      </c>
    </row>
    <row r="31" spans="1:17" s="18" customFormat="1" ht="20.100000000000001" customHeight="1">
      <c r="A31" s="19"/>
      <c r="B31" s="30" t="s">
        <v>9</v>
      </c>
      <c r="C31" s="31"/>
      <c r="D31" s="31"/>
      <c r="E31" s="31"/>
      <c r="F31" s="32"/>
      <c r="G31" s="31"/>
      <c r="H31" s="31"/>
      <c r="I31" s="33">
        <f>SUM(C31:H31)</f>
        <v>0</v>
      </c>
      <c r="J31" s="31"/>
      <c r="K31" s="31"/>
      <c r="L31" s="31"/>
      <c r="M31" s="31"/>
      <c r="N31" s="31"/>
      <c r="O31" s="31"/>
      <c r="P31" s="34">
        <f>SUM(J31:O31)</f>
        <v>0</v>
      </c>
      <c r="Q31" s="35">
        <f>I31+P31</f>
        <v>0</v>
      </c>
    </row>
    <row r="32" spans="1:17" s="61" customFormat="1" ht="20.100000000000001" customHeight="1">
      <c r="A32" s="19"/>
      <c r="B32" s="37" t="s">
        <v>10</v>
      </c>
      <c r="C32" s="38">
        <f t="shared" ref="C32:Q32" si="8">C31/C29</f>
        <v>0</v>
      </c>
      <c r="D32" s="38">
        <f t="shared" si="8"/>
        <v>0</v>
      </c>
      <c r="E32" s="38">
        <f t="shared" si="8"/>
        <v>0</v>
      </c>
      <c r="F32" s="38">
        <f t="shared" si="8"/>
        <v>0</v>
      </c>
      <c r="G32" s="38">
        <f t="shared" si="8"/>
        <v>0</v>
      </c>
      <c r="H32" s="38">
        <f t="shared" si="8"/>
        <v>0</v>
      </c>
      <c r="I32" s="39">
        <f t="shared" si="8"/>
        <v>0</v>
      </c>
      <c r="J32" s="38">
        <f t="shared" si="8"/>
        <v>0</v>
      </c>
      <c r="K32" s="38">
        <f t="shared" si="8"/>
        <v>0</v>
      </c>
      <c r="L32" s="38">
        <f t="shared" si="8"/>
        <v>0</v>
      </c>
      <c r="M32" s="38">
        <f t="shared" si="8"/>
        <v>0</v>
      </c>
      <c r="N32" s="38">
        <f t="shared" si="8"/>
        <v>0</v>
      </c>
      <c r="O32" s="38">
        <f t="shared" si="8"/>
        <v>0</v>
      </c>
      <c r="P32" s="39">
        <f t="shared" si="8"/>
        <v>0</v>
      </c>
      <c r="Q32" s="40">
        <f t="shared" si="8"/>
        <v>0</v>
      </c>
    </row>
    <row r="33" spans="1:17" s="18" customFormat="1" ht="19.5" customHeight="1" thickBot="1">
      <c r="A33" s="65"/>
      <c r="B33" s="66" t="s">
        <v>11</v>
      </c>
      <c r="C33" s="67">
        <f t="shared" ref="C33:O33" si="9">C31/C30</f>
        <v>0</v>
      </c>
      <c r="D33" s="67" t="e">
        <f t="shared" si="9"/>
        <v>#DIV/0!</v>
      </c>
      <c r="E33" s="67" t="e">
        <f t="shared" si="9"/>
        <v>#DIV/0!</v>
      </c>
      <c r="F33" s="67" t="e">
        <f t="shared" si="9"/>
        <v>#DIV/0!</v>
      </c>
      <c r="G33" s="67" t="e">
        <f t="shared" si="9"/>
        <v>#DIV/0!</v>
      </c>
      <c r="H33" s="67" t="e">
        <f t="shared" si="9"/>
        <v>#DIV/0!</v>
      </c>
      <c r="I33" s="68">
        <f t="shared" si="9"/>
        <v>0</v>
      </c>
      <c r="J33" s="67" t="e">
        <f t="shared" si="9"/>
        <v>#DIV/0!</v>
      </c>
      <c r="K33" s="67" t="e">
        <f t="shared" si="9"/>
        <v>#DIV/0!</v>
      </c>
      <c r="L33" s="67" t="e">
        <f t="shared" si="9"/>
        <v>#DIV/0!</v>
      </c>
      <c r="M33" s="67" t="e">
        <f t="shared" si="9"/>
        <v>#DIV/0!</v>
      </c>
      <c r="N33" s="67" t="e">
        <f t="shared" si="9"/>
        <v>#DIV/0!</v>
      </c>
      <c r="O33" s="67" t="e">
        <f t="shared" si="9"/>
        <v>#DIV/0!</v>
      </c>
      <c r="P33" s="68" t="e">
        <f>P31/P30</f>
        <v>#DIV/0!</v>
      </c>
      <c r="Q33" s="69">
        <f>Q31/Q30</f>
        <v>0</v>
      </c>
    </row>
    <row r="34" spans="1:17" s="72" customFormat="1" ht="20.100000000000001" customHeight="1" thickTop="1">
      <c r="A34" s="70" t="s">
        <v>16</v>
      </c>
      <c r="B34" s="71" t="s">
        <v>6</v>
      </c>
      <c r="C34" s="50">
        <f t="shared" ref="C34:H34" si="10">SUM(C28,C22,C16,C10,C4)</f>
        <v>43193</v>
      </c>
      <c r="D34" s="50">
        <f t="shared" si="10"/>
        <v>35354</v>
      </c>
      <c r="E34" s="50">
        <f t="shared" si="10"/>
        <v>41042</v>
      </c>
      <c r="F34" s="50">
        <f t="shared" si="10"/>
        <v>43191</v>
      </c>
      <c r="G34" s="50">
        <f t="shared" si="10"/>
        <v>32455</v>
      </c>
      <c r="H34" s="50">
        <f t="shared" si="10"/>
        <v>50432</v>
      </c>
      <c r="I34" s="50">
        <f>SUM(C34:H34)</f>
        <v>245667</v>
      </c>
      <c r="J34" s="50">
        <f t="shared" ref="J34:O34" si="11">SUM(J28,J22,J16,J10,J4)</f>
        <v>50000</v>
      </c>
      <c r="K34" s="50">
        <f t="shared" si="11"/>
        <v>48000</v>
      </c>
      <c r="L34" s="50">
        <f t="shared" si="11"/>
        <v>49000</v>
      </c>
      <c r="M34" s="50">
        <f t="shared" si="11"/>
        <v>47000</v>
      </c>
      <c r="N34" s="50">
        <f t="shared" si="11"/>
        <v>46000</v>
      </c>
      <c r="O34" s="50">
        <f t="shared" si="11"/>
        <v>46000</v>
      </c>
      <c r="P34" s="50">
        <f>SUM(J34:O34)</f>
        <v>286000</v>
      </c>
      <c r="Q34" s="51">
        <f>I34+P34</f>
        <v>531667</v>
      </c>
    </row>
    <row r="35" spans="1:17" s="77" customFormat="1" ht="20.100000000000001" customHeight="1">
      <c r="A35" s="73"/>
      <c r="B35" s="74" t="s">
        <v>7</v>
      </c>
      <c r="C35" s="75">
        <f t="shared" ref="C35:H36" si="12">SUM(C5,C11,C17,C23,C29)</f>
        <v>43193</v>
      </c>
      <c r="D35" s="75">
        <f t="shared" si="12"/>
        <v>35354</v>
      </c>
      <c r="E35" s="75">
        <f t="shared" si="12"/>
        <v>41042</v>
      </c>
      <c r="F35" s="75">
        <f t="shared" si="12"/>
        <v>43191</v>
      </c>
      <c r="G35" s="75">
        <f t="shared" si="12"/>
        <v>32455</v>
      </c>
      <c r="H35" s="75">
        <f t="shared" si="12"/>
        <v>50432</v>
      </c>
      <c r="I35" s="75">
        <f>SUM(C35:H35)</f>
        <v>245667</v>
      </c>
      <c r="J35" s="75">
        <f t="shared" ref="J35:O36" si="13">SUM(J5,J11,J17,J23,J29)</f>
        <v>47811</v>
      </c>
      <c r="K35" s="75">
        <f t="shared" si="13"/>
        <v>37144</v>
      </c>
      <c r="L35" s="75">
        <f t="shared" si="13"/>
        <v>43048</v>
      </c>
      <c r="M35" s="75">
        <f t="shared" si="13"/>
        <v>34031</v>
      </c>
      <c r="N35" s="75">
        <f t="shared" si="13"/>
        <v>25764</v>
      </c>
      <c r="O35" s="75">
        <f t="shared" si="13"/>
        <v>33076</v>
      </c>
      <c r="P35" s="75">
        <f>SUM(J35:O35)</f>
        <v>220874</v>
      </c>
      <c r="Q35" s="76">
        <f>I35+P35</f>
        <v>466541</v>
      </c>
    </row>
    <row r="36" spans="1:17" s="81" customFormat="1" ht="20.100000000000001" customHeight="1">
      <c r="A36" s="73"/>
      <c r="B36" s="78" t="s">
        <v>8</v>
      </c>
      <c r="C36" s="79">
        <f t="shared" si="12"/>
        <v>54115</v>
      </c>
      <c r="D36" s="79">
        <f t="shared" si="12"/>
        <v>53000</v>
      </c>
      <c r="E36" s="79">
        <f t="shared" si="12"/>
        <v>51200</v>
      </c>
      <c r="F36" s="79">
        <f t="shared" si="12"/>
        <v>51200</v>
      </c>
      <c r="G36" s="79">
        <f t="shared" si="12"/>
        <v>51740</v>
      </c>
      <c r="H36" s="79">
        <f t="shared" si="12"/>
        <v>56840</v>
      </c>
      <c r="I36" s="79">
        <f>SUM(C36:H36)</f>
        <v>318095</v>
      </c>
      <c r="J36" s="79">
        <f t="shared" si="13"/>
        <v>44735</v>
      </c>
      <c r="K36" s="79">
        <f t="shared" si="13"/>
        <v>44700</v>
      </c>
      <c r="L36" s="79">
        <f t="shared" si="13"/>
        <v>44250</v>
      </c>
      <c r="M36" s="79">
        <f t="shared" si="13"/>
        <v>37300</v>
      </c>
      <c r="N36" s="79">
        <f t="shared" si="13"/>
        <v>36590</v>
      </c>
      <c r="O36" s="79">
        <f t="shared" si="13"/>
        <v>39330</v>
      </c>
      <c r="P36" s="79">
        <f>SUM(J36:O36)</f>
        <v>246905</v>
      </c>
      <c r="Q36" s="80">
        <f>I36+P36</f>
        <v>565000</v>
      </c>
    </row>
    <row r="37" spans="1:17" s="84" customFormat="1" ht="20.100000000000001" customHeight="1">
      <c r="A37" s="73"/>
      <c r="B37" s="82" t="s">
        <v>9</v>
      </c>
      <c r="C37" s="34">
        <f t="shared" ref="C37:H37" si="14">C44+C50+C56+C62+C74+C81+C68</f>
        <v>0</v>
      </c>
      <c r="D37" s="34">
        <f t="shared" si="14"/>
        <v>0</v>
      </c>
      <c r="E37" s="34">
        <f t="shared" si="14"/>
        <v>0</v>
      </c>
      <c r="F37" s="34">
        <f t="shared" si="14"/>
        <v>0</v>
      </c>
      <c r="G37" s="34">
        <f t="shared" si="14"/>
        <v>0</v>
      </c>
      <c r="H37" s="34">
        <f t="shared" si="14"/>
        <v>0</v>
      </c>
      <c r="I37" s="34">
        <f>SUM(C37:H37)</f>
        <v>0</v>
      </c>
      <c r="J37" s="34">
        <f t="shared" ref="J37:O37" si="15">J44+J50+J56+J62+J74+J81+J68</f>
        <v>0</v>
      </c>
      <c r="K37" s="34">
        <f t="shared" si="15"/>
        <v>0</v>
      </c>
      <c r="L37" s="34">
        <f t="shared" si="15"/>
        <v>0</v>
      </c>
      <c r="M37" s="34">
        <f t="shared" si="15"/>
        <v>0</v>
      </c>
      <c r="N37" s="34">
        <f t="shared" si="15"/>
        <v>0</v>
      </c>
      <c r="O37" s="34">
        <f t="shared" si="15"/>
        <v>0</v>
      </c>
      <c r="P37" s="34">
        <f>SUM(J37:O37)</f>
        <v>0</v>
      </c>
      <c r="Q37" s="83">
        <f>I37+P37</f>
        <v>0</v>
      </c>
    </row>
    <row r="38" spans="1:17" s="61" customFormat="1" ht="20.100000000000001" customHeight="1">
      <c r="A38" s="73"/>
      <c r="B38" s="85" t="s">
        <v>10</v>
      </c>
      <c r="C38" s="39">
        <f>C37/C35</f>
        <v>0</v>
      </c>
      <c r="D38" s="39">
        <f t="shared" ref="D38:Q38" si="16">D37/D35</f>
        <v>0</v>
      </c>
      <c r="E38" s="39">
        <f t="shared" si="16"/>
        <v>0</v>
      </c>
      <c r="F38" s="39">
        <f t="shared" si="16"/>
        <v>0</v>
      </c>
      <c r="G38" s="39">
        <f t="shared" si="16"/>
        <v>0</v>
      </c>
      <c r="H38" s="39">
        <f t="shared" si="16"/>
        <v>0</v>
      </c>
      <c r="I38" s="39">
        <f t="shared" si="16"/>
        <v>0</v>
      </c>
      <c r="J38" s="39">
        <f t="shared" si="16"/>
        <v>0</v>
      </c>
      <c r="K38" s="39">
        <f t="shared" si="16"/>
        <v>0</v>
      </c>
      <c r="L38" s="39">
        <f t="shared" si="16"/>
        <v>0</v>
      </c>
      <c r="M38" s="39">
        <f t="shared" si="16"/>
        <v>0</v>
      </c>
      <c r="N38" s="39">
        <f t="shared" si="16"/>
        <v>0</v>
      </c>
      <c r="O38" s="39">
        <f t="shared" si="16"/>
        <v>0</v>
      </c>
      <c r="P38" s="39">
        <f t="shared" si="16"/>
        <v>0</v>
      </c>
      <c r="Q38" s="40">
        <f t="shared" si="16"/>
        <v>0</v>
      </c>
    </row>
    <row r="39" spans="1:17" s="18" customFormat="1" ht="20.100000000000001" customHeight="1" thickBot="1">
      <c r="A39" s="86"/>
      <c r="B39" s="87" t="s">
        <v>11</v>
      </c>
      <c r="C39" s="57">
        <f>C37/C36</f>
        <v>0</v>
      </c>
      <c r="D39" s="57">
        <f t="shared" ref="D39:Q39" si="17">D37/D36</f>
        <v>0</v>
      </c>
      <c r="E39" s="57">
        <f t="shared" si="17"/>
        <v>0</v>
      </c>
      <c r="F39" s="57">
        <f t="shared" si="17"/>
        <v>0</v>
      </c>
      <c r="G39" s="57">
        <f t="shared" si="17"/>
        <v>0</v>
      </c>
      <c r="H39" s="57">
        <f t="shared" si="17"/>
        <v>0</v>
      </c>
      <c r="I39" s="57">
        <f t="shared" si="17"/>
        <v>0</v>
      </c>
      <c r="J39" s="57">
        <f t="shared" si="17"/>
        <v>0</v>
      </c>
      <c r="K39" s="57">
        <f t="shared" si="17"/>
        <v>0</v>
      </c>
      <c r="L39" s="57">
        <f t="shared" si="17"/>
        <v>0</v>
      </c>
      <c r="M39" s="57">
        <f t="shared" si="17"/>
        <v>0</v>
      </c>
      <c r="N39" s="57">
        <f t="shared" si="17"/>
        <v>0</v>
      </c>
      <c r="O39" s="57">
        <f t="shared" si="17"/>
        <v>0</v>
      </c>
      <c r="P39" s="57">
        <f t="shared" si="17"/>
        <v>0</v>
      </c>
      <c r="Q39" s="58">
        <f t="shared" si="17"/>
        <v>0</v>
      </c>
    </row>
    <row r="40" spans="1:17" s="18" customFormat="1" ht="20.100000000000001" customHeight="1" thickBot="1">
      <c r="A40" s="88"/>
      <c r="B40" s="89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7" s="72" customFormat="1" ht="20.100000000000001" customHeight="1">
      <c r="A41" s="13" t="s">
        <v>17</v>
      </c>
      <c r="B41" s="14" t="s">
        <v>6</v>
      </c>
      <c r="C41" s="15">
        <v>5471</v>
      </c>
      <c r="D41" s="15">
        <v>5304</v>
      </c>
      <c r="E41" s="15">
        <v>8736</v>
      </c>
      <c r="F41" s="15">
        <v>11165</v>
      </c>
      <c r="G41" s="15">
        <v>9261</v>
      </c>
      <c r="H41" s="15">
        <v>9809</v>
      </c>
      <c r="I41" s="16">
        <f>C41+D41+E41+F41+G41+H41</f>
        <v>49746</v>
      </c>
      <c r="J41" s="15">
        <v>1500</v>
      </c>
      <c r="K41" s="15">
        <v>1500</v>
      </c>
      <c r="L41" s="15">
        <v>2000</v>
      </c>
      <c r="M41" s="15">
        <v>2000</v>
      </c>
      <c r="N41" s="15">
        <v>2000</v>
      </c>
      <c r="O41" s="15">
        <v>2000</v>
      </c>
      <c r="P41" s="16">
        <f>J41+K41+L41+M41+N41+O41</f>
        <v>11000</v>
      </c>
      <c r="Q41" s="17">
        <f>I41+P41</f>
        <v>60746</v>
      </c>
    </row>
    <row r="42" spans="1:17" s="24" customFormat="1" ht="20.100000000000001" customHeight="1">
      <c r="A42" s="19"/>
      <c r="B42" s="20" t="s">
        <v>7</v>
      </c>
      <c r="C42" s="21">
        <v>5467</v>
      </c>
      <c r="D42" s="21">
        <v>5304</v>
      </c>
      <c r="E42" s="21">
        <v>8736</v>
      </c>
      <c r="F42" s="21">
        <v>11151</v>
      </c>
      <c r="G42" s="21">
        <v>9260</v>
      </c>
      <c r="H42" s="21">
        <v>9809</v>
      </c>
      <c r="I42" s="22">
        <f>C42+D42+E42+F42+G42+H42</f>
        <v>49727</v>
      </c>
      <c r="J42" s="21">
        <v>2312</v>
      </c>
      <c r="K42" s="21">
        <v>549</v>
      </c>
      <c r="L42" s="21">
        <v>2418</v>
      </c>
      <c r="M42" s="21">
        <v>682</v>
      </c>
      <c r="N42" s="21">
        <v>728</v>
      </c>
      <c r="O42" s="21">
        <v>40386</v>
      </c>
      <c r="P42" s="22">
        <f>J42+K42+L42+M42+N42+O42</f>
        <v>47075</v>
      </c>
      <c r="Q42" s="23">
        <f>I42+P42</f>
        <v>96802</v>
      </c>
    </row>
    <row r="43" spans="1:17" s="29" customFormat="1" ht="20.100000000000001" customHeight="1">
      <c r="A43" s="19"/>
      <c r="B43" s="25" t="s">
        <v>8</v>
      </c>
      <c r="C43" s="26">
        <v>4800</v>
      </c>
      <c r="D43" s="26">
        <v>4550</v>
      </c>
      <c r="E43" s="26">
        <v>4800</v>
      </c>
      <c r="F43" s="26">
        <v>4600</v>
      </c>
      <c r="G43" s="26">
        <v>4800</v>
      </c>
      <c r="H43" s="26">
        <v>4600</v>
      </c>
      <c r="I43" s="27">
        <f>C43+D43+E43+F43+G43+H43</f>
        <v>28150</v>
      </c>
      <c r="J43" s="26">
        <v>3800</v>
      </c>
      <c r="K43" s="26">
        <v>3750</v>
      </c>
      <c r="L43" s="26">
        <v>3800</v>
      </c>
      <c r="M43" s="26">
        <v>3500</v>
      </c>
      <c r="N43" s="26">
        <v>3500</v>
      </c>
      <c r="O43" s="26">
        <v>3500</v>
      </c>
      <c r="P43" s="27">
        <f>J43+K43+L43+M43+N43+O43</f>
        <v>21850</v>
      </c>
      <c r="Q43" s="28">
        <f>I43+P43</f>
        <v>50000</v>
      </c>
    </row>
    <row r="44" spans="1:17" s="36" customFormat="1" ht="20.100000000000001" customHeight="1">
      <c r="A44" s="19"/>
      <c r="B44" s="30" t="s">
        <v>9</v>
      </c>
      <c r="C44" s="31"/>
      <c r="D44" s="31"/>
      <c r="E44" s="31"/>
      <c r="F44" s="32"/>
      <c r="G44" s="31"/>
      <c r="H44" s="31"/>
      <c r="I44" s="33">
        <f>SUM(C44:H44)</f>
        <v>0</v>
      </c>
      <c r="J44" s="31"/>
      <c r="K44" s="31"/>
      <c r="L44" s="31"/>
      <c r="M44" s="31"/>
      <c r="N44" s="31"/>
      <c r="O44" s="31"/>
      <c r="P44" s="34">
        <f>SUM(J44:O44)</f>
        <v>0</v>
      </c>
      <c r="Q44" s="35">
        <f>I44+P44</f>
        <v>0</v>
      </c>
    </row>
    <row r="45" spans="1:17" s="61" customFormat="1" ht="20.100000000000001" customHeight="1">
      <c r="A45" s="19"/>
      <c r="B45" s="37" t="s">
        <v>10</v>
      </c>
      <c r="C45" s="38">
        <f>C44/C42</f>
        <v>0</v>
      </c>
      <c r="D45" s="38">
        <f>D44/D42</f>
        <v>0</v>
      </c>
      <c r="E45" s="38">
        <f>E44/E42</f>
        <v>0</v>
      </c>
      <c r="F45" s="38">
        <f>F44/F42</f>
        <v>0</v>
      </c>
      <c r="G45" s="38">
        <f t="shared" ref="G45:H45" si="18">G44/G42</f>
        <v>0</v>
      </c>
      <c r="H45" s="38">
        <f t="shared" si="18"/>
        <v>0</v>
      </c>
      <c r="I45" s="39">
        <f>I44/I42</f>
        <v>0</v>
      </c>
      <c r="J45" s="38">
        <f t="shared" ref="J45:P45" si="19">J44/J42</f>
        <v>0</v>
      </c>
      <c r="K45" s="38">
        <f t="shared" si="19"/>
        <v>0</v>
      </c>
      <c r="L45" s="38">
        <f t="shared" si="19"/>
        <v>0</v>
      </c>
      <c r="M45" s="38">
        <f t="shared" si="19"/>
        <v>0</v>
      </c>
      <c r="N45" s="38">
        <f t="shared" si="19"/>
        <v>0</v>
      </c>
      <c r="O45" s="38">
        <f t="shared" si="19"/>
        <v>0</v>
      </c>
      <c r="P45" s="39">
        <f t="shared" si="19"/>
        <v>0</v>
      </c>
      <c r="Q45" s="40">
        <f>Q44/Q42</f>
        <v>0</v>
      </c>
    </row>
    <row r="46" spans="1:17" s="18" customFormat="1" ht="20.100000000000001" customHeight="1" thickBot="1">
      <c r="A46" s="42"/>
      <c r="B46" s="43" t="s">
        <v>11</v>
      </c>
      <c r="C46" s="44">
        <f>C44/C43</f>
        <v>0</v>
      </c>
      <c r="D46" s="44">
        <f>D44/D43</f>
        <v>0</v>
      </c>
      <c r="E46" s="44">
        <f>E44/E43</f>
        <v>0</v>
      </c>
      <c r="F46" s="44">
        <f>F44/F43</f>
        <v>0</v>
      </c>
      <c r="G46" s="44">
        <f t="shared" ref="G46:H46" si="20">G44/G43</f>
        <v>0</v>
      </c>
      <c r="H46" s="44">
        <f t="shared" si="20"/>
        <v>0</v>
      </c>
      <c r="I46" s="45">
        <f>I44/I43</f>
        <v>0</v>
      </c>
      <c r="J46" s="44">
        <f t="shared" ref="J46:P46" si="21">J44/J43</f>
        <v>0</v>
      </c>
      <c r="K46" s="44">
        <f t="shared" si="21"/>
        <v>0</v>
      </c>
      <c r="L46" s="44">
        <f t="shared" si="21"/>
        <v>0</v>
      </c>
      <c r="M46" s="44">
        <f t="shared" si="21"/>
        <v>0</v>
      </c>
      <c r="N46" s="44">
        <f t="shared" si="21"/>
        <v>0</v>
      </c>
      <c r="O46" s="44">
        <f t="shared" si="21"/>
        <v>0</v>
      </c>
      <c r="P46" s="45">
        <f t="shared" si="21"/>
        <v>0</v>
      </c>
      <c r="Q46" s="46">
        <f>Q44/Q43</f>
        <v>0</v>
      </c>
    </row>
    <row r="47" spans="1:17" s="18" customFormat="1" ht="19.899999999999999" customHeight="1">
      <c r="A47" s="63" t="s">
        <v>18</v>
      </c>
      <c r="B47" s="48" t="s">
        <v>6</v>
      </c>
      <c r="C47" s="64"/>
      <c r="D47" s="64"/>
      <c r="E47" s="64"/>
      <c r="F47" s="64"/>
      <c r="G47" s="64"/>
      <c r="H47" s="64"/>
      <c r="I47" s="50"/>
      <c r="J47" s="64">
        <v>17000</v>
      </c>
      <c r="K47" s="64">
        <v>15000</v>
      </c>
      <c r="L47" s="64">
        <v>15000</v>
      </c>
      <c r="M47" s="64">
        <v>14000</v>
      </c>
      <c r="N47" s="64">
        <v>13000</v>
      </c>
      <c r="O47" s="64">
        <v>14000</v>
      </c>
      <c r="P47" s="50">
        <f>J47+K47+L47+M47+N47+O47</f>
        <v>88000</v>
      </c>
      <c r="Q47" s="51">
        <f>I47+P47</f>
        <v>88000</v>
      </c>
    </row>
    <row r="48" spans="1:17" s="18" customFormat="1" ht="19.899999999999999" customHeight="1">
      <c r="A48" s="19"/>
      <c r="B48" s="20" t="s">
        <v>7</v>
      </c>
      <c r="C48" s="21"/>
      <c r="D48" s="21"/>
      <c r="E48" s="21"/>
      <c r="F48" s="21"/>
      <c r="G48" s="21"/>
      <c r="H48" s="21">
        <v>-25</v>
      </c>
      <c r="I48" s="22">
        <f>C48+D48+E48+F48+G48+H48</f>
        <v>-25</v>
      </c>
      <c r="J48" s="21">
        <v>18065</v>
      </c>
      <c r="K48" s="21">
        <v>6963</v>
      </c>
      <c r="L48" s="21">
        <v>5954</v>
      </c>
      <c r="M48" s="21">
        <v>9908</v>
      </c>
      <c r="N48" s="21">
        <v>5882</v>
      </c>
      <c r="O48" s="21">
        <v>10381</v>
      </c>
      <c r="P48" s="22">
        <f>J48+K48+L48+M48+N48+O48</f>
        <v>57153</v>
      </c>
      <c r="Q48" s="23">
        <f>I48+P48</f>
        <v>57128</v>
      </c>
    </row>
    <row r="49" spans="1:17" s="18" customFormat="1" ht="19.899999999999999" customHeight="1">
      <c r="A49" s="19"/>
      <c r="B49" s="25" t="s">
        <v>8</v>
      </c>
      <c r="C49" s="26">
        <v>12190</v>
      </c>
      <c r="D49" s="26">
        <v>12200</v>
      </c>
      <c r="E49" s="26">
        <v>12200</v>
      </c>
      <c r="F49" s="26">
        <v>12200</v>
      </c>
      <c r="G49" s="26">
        <v>12200</v>
      </c>
      <c r="H49" s="26">
        <v>12200</v>
      </c>
      <c r="I49" s="27">
        <f>C49+D49+E49+F49+G49+H49</f>
        <v>73190</v>
      </c>
      <c r="J49" s="26">
        <v>10000</v>
      </c>
      <c r="K49" s="26">
        <v>10000</v>
      </c>
      <c r="L49" s="26">
        <v>9000</v>
      </c>
      <c r="M49" s="26">
        <v>9000</v>
      </c>
      <c r="N49" s="26">
        <v>8810</v>
      </c>
      <c r="O49" s="26">
        <v>10000</v>
      </c>
      <c r="P49" s="27">
        <f>J49+K49+L49+M49+N49+O49</f>
        <v>56810</v>
      </c>
      <c r="Q49" s="28">
        <f>I49+P49</f>
        <v>130000</v>
      </c>
    </row>
    <row r="50" spans="1:17" s="18" customFormat="1" ht="19.899999999999999" customHeight="1">
      <c r="A50" s="19"/>
      <c r="B50" s="30" t="s">
        <v>9</v>
      </c>
      <c r="C50" s="31"/>
      <c r="D50" s="31"/>
      <c r="E50" s="31"/>
      <c r="F50" s="32"/>
      <c r="G50" s="31"/>
      <c r="H50" s="32"/>
      <c r="I50" s="33">
        <f>SUM(C50:H50)</f>
        <v>0</v>
      </c>
      <c r="J50" s="32"/>
      <c r="K50" s="31"/>
      <c r="L50" s="31"/>
      <c r="M50" s="31"/>
      <c r="N50" s="31"/>
      <c r="O50" s="31"/>
      <c r="P50" s="34">
        <f>SUM(J50:O50)</f>
        <v>0</v>
      </c>
      <c r="Q50" s="35">
        <f>I50+P50</f>
        <v>0</v>
      </c>
    </row>
    <row r="51" spans="1:17" s="18" customFormat="1" ht="19.899999999999999" customHeight="1">
      <c r="A51" s="19"/>
      <c r="B51" s="37" t="s">
        <v>10</v>
      </c>
      <c r="C51" s="38" t="e">
        <f t="shared" ref="C51:Q51" si="22">C50/C48</f>
        <v>#DIV/0!</v>
      </c>
      <c r="D51" s="38" t="e">
        <f t="shared" si="22"/>
        <v>#DIV/0!</v>
      </c>
      <c r="E51" s="38" t="e">
        <f t="shared" si="22"/>
        <v>#DIV/0!</v>
      </c>
      <c r="F51" s="38" t="e">
        <f t="shared" si="22"/>
        <v>#DIV/0!</v>
      </c>
      <c r="G51" s="38" t="e">
        <f t="shared" si="22"/>
        <v>#DIV/0!</v>
      </c>
      <c r="H51" s="38">
        <f t="shared" si="22"/>
        <v>0</v>
      </c>
      <c r="I51" s="39">
        <f t="shared" si="22"/>
        <v>0</v>
      </c>
      <c r="J51" s="38">
        <f t="shared" si="22"/>
        <v>0</v>
      </c>
      <c r="K51" s="38">
        <f t="shared" si="22"/>
        <v>0</v>
      </c>
      <c r="L51" s="38">
        <f t="shared" si="22"/>
        <v>0</v>
      </c>
      <c r="M51" s="38">
        <f t="shared" si="22"/>
        <v>0</v>
      </c>
      <c r="N51" s="38">
        <f t="shared" si="22"/>
        <v>0</v>
      </c>
      <c r="O51" s="38">
        <f t="shared" si="22"/>
        <v>0</v>
      </c>
      <c r="P51" s="39">
        <f t="shared" si="22"/>
        <v>0</v>
      </c>
      <c r="Q51" s="40">
        <f t="shared" si="22"/>
        <v>0</v>
      </c>
    </row>
    <row r="52" spans="1:17" s="18" customFormat="1" ht="19.899999999999999" customHeight="1" thickBot="1">
      <c r="A52" s="54"/>
      <c r="B52" s="55" t="s">
        <v>11</v>
      </c>
      <c r="C52" s="56">
        <f t="shared" ref="C52:O52" si="23">C50/C49</f>
        <v>0</v>
      </c>
      <c r="D52" s="56">
        <f t="shared" si="23"/>
        <v>0</v>
      </c>
      <c r="E52" s="56">
        <f t="shared" si="23"/>
        <v>0</v>
      </c>
      <c r="F52" s="56">
        <f t="shared" si="23"/>
        <v>0</v>
      </c>
      <c r="G52" s="56">
        <f t="shared" si="23"/>
        <v>0</v>
      </c>
      <c r="H52" s="56">
        <f t="shared" si="23"/>
        <v>0</v>
      </c>
      <c r="I52" s="57">
        <f t="shared" si="23"/>
        <v>0</v>
      </c>
      <c r="J52" s="56">
        <f t="shared" si="23"/>
        <v>0</v>
      </c>
      <c r="K52" s="56">
        <f t="shared" si="23"/>
        <v>0</v>
      </c>
      <c r="L52" s="56">
        <f t="shared" si="23"/>
        <v>0</v>
      </c>
      <c r="M52" s="56">
        <f t="shared" si="23"/>
        <v>0</v>
      </c>
      <c r="N52" s="56">
        <f t="shared" si="23"/>
        <v>0</v>
      </c>
      <c r="O52" s="56">
        <f t="shared" si="23"/>
        <v>0</v>
      </c>
      <c r="P52" s="57">
        <f>P50/P49</f>
        <v>0</v>
      </c>
      <c r="Q52" s="58">
        <f>Q50/Q49</f>
        <v>0</v>
      </c>
    </row>
    <row r="53" spans="1:17" s="18" customFormat="1" ht="20.100000000000001" customHeight="1">
      <c r="A53" s="59" t="s">
        <v>19</v>
      </c>
      <c r="B53" s="14" t="s">
        <v>6</v>
      </c>
      <c r="C53" s="15">
        <v>2523</v>
      </c>
      <c r="D53" s="15">
        <v>5661</v>
      </c>
      <c r="E53" s="15">
        <v>6245</v>
      </c>
      <c r="F53" s="15">
        <v>6006</v>
      </c>
      <c r="G53" s="15">
        <v>5615</v>
      </c>
      <c r="H53" s="15">
        <v>38072</v>
      </c>
      <c r="I53" s="16">
        <f>C53+D53+E53+F53+G53+H53</f>
        <v>64122</v>
      </c>
      <c r="J53" s="15">
        <v>8500</v>
      </c>
      <c r="K53" s="15">
        <v>8500</v>
      </c>
      <c r="L53" s="15">
        <v>8500</v>
      </c>
      <c r="M53" s="15">
        <v>8500</v>
      </c>
      <c r="N53" s="15">
        <v>8500</v>
      </c>
      <c r="O53" s="15">
        <v>8500</v>
      </c>
      <c r="P53" s="16">
        <f>J53+K53+L53+M53+N53+O53</f>
        <v>51000</v>
      </c>
      <c r="Q53" s="17">
        <f>I53+P53</f>
        <v>115122</v>
      </c>
    </row>
    <row r="54" spans="1:17" s="24" customFormat="1" ht="20.100000000000001" customHeight="1">
      <c r="A54" s="60"/>
      <c r="B54" s="20" t="s">
        <v>7</v>
      </c>
      <c r="C54" s="21">
        <v>2523</v>
      </c>
      <c r="D54" s="21">
        <v>5661</v>
      </c>
      <c r="E54" s="21">
        <v>6245</v>
      </c>
      <c r="F54" s="21">
        <v>6006</v>
      </c>
      <c r="G54" s="21">
        <v>5615</v>
      </c>
      <c r="H54" s="21">
        <v>38072</v>
      </c>
      <c r="I54" s="22">
        <f>C54+D54+E54+F54+G54+H54</f>
        <v>64122</v>
      </c>
      <c r="J54" s="21">
        <v>7682</v>
      </c>
      <c r="K54" s="21">
        <v>7205</v>
      </c>
      <c r="L54" s="21">
        <v>11521</v>
      </c>
      <c r="M54" s="21">
        <v>2317</v>
      </c>
      <c r="N54" s="21">
        <v>6406</v>
      </c>
      <c r="O54" s="21">
        <v>1806</v>
      </c>
      <c r="P54" s="22">
        <f>J54+K54+L54+M54+N54+O54</f>
        <v>36937</v>
      </c>
      <c r="Q54" s="23">
        <f>I54+P54</f>
        <v>101059</v>
      </c>
    </row>
    <row r="55" spans="1:17" s="29" customFormat="1" ht="20.100000000000001" customHeight="1">
      <c r="A55" s="60"/>
      <c r="B55" s="25" t="s">
        <v>8</v>
      </c>
      <c r="C55" s="26">
        <v>5000</v>
      </c>
      <c r="D55" s="26">
        <v>7000</v>
      </c>
      <c r="E55" s="26">
        <v>7000</v>
      </c>
      <c r="F55" s="26">
        <v>8000</v>
      </c>
      <c r="G55" s="26">
        <v>8000</v>
      </c>
      <c r="H55" s="26">
        <v>40000</v>
      </c>
      <c r="I55" s="27">
        <f>C55+D55+E55+F55+G55+H55</f>
        <v>75000</v>
      </c>
      <c r="J55" s="26">
        <v>12000</v>
      </c>
      <c r="K55" s="26">
        <v>13000</v>
      </c>
      <c r="L55" s="26">
        <v>15000</v>
      </c>
      <c r="M55" s="26">
        <v>5000</v>
      </c>
      <c r="N55" s="26">
        <v>5000</v>
      </c>
      <c r="O55" s="26">
        <v>5000</v>
      </c>
      <c r="P55" s="27">
        <f>J55+K55+L55+M55+N55+O55</f>
        <v>55000</v>
      </c>
      <c r="Q55" s="28">
        <f>I55+P55</f>
        <v>130000</v>
      </c>
    </row>
    <row r="56" spans="1:17" s="18" customFormat="1" ht="20.100000000000001" customHeight="1">
      <c r="A56" s="60"/>
      <c r="B56" s="30" t="s">
        <v>9</v>
      </c>
      <c r="C56" s="31"/>
      <c r="D56" s="31"/>
      <c r="E56" s="31"/>
      <c r="F56" s="32"/>
      <c r="G56" s="31"/>
      <c r="H56" s="31"/>
      <c r="I56" s="33">
        <f>SUM(C56:H56)</f>
        <v>0</v>
      </c>
      <c r="J56" s="31"/>
      <c r="K56" s="31"/>
      <c r="L56" s="31"/>
      <c r="M56" s="31"/>
      <c r="N56" s="31"/>
      <c r="O56" s="31"/>
      <c r="P56" s="34">
        <f>SUM(J56:O56)</f>
        <v>0</v>
      </c>
      <c r="Q56" s="35">
        <f>I56+P56</f>
        <v>0</v>
      </c>
    </row>
    <row r="57" spans="1:17" s="61" customFormat="1" ht="20.100000000000001" customHeight="1">
      <c r="A57" s="60"/>
      <c r="B57" s="37" t="s">
        <v>10</v>
      </c>
      <c r="C57" s="38">
        <f t="shared" ref="C57:Q57" si="24">C56/C54</f>
        <v>0</v>
      </c>
      <c r="D57" s="38">
        <f t="shared" si="24"/>
        <v>0</v>
      </c>
      <c r="E57" s="38">
        <f t="shared" si="24"/>
        <v>0</v>
      </c>
      <c r="F57" s="38">
        <f t="shared" si="24"/>
        <v>0</v>
      </c>
      <c r="G57" s="38">
        <f t="shared" si="24"/>
        <v>0</v>
      </c>
      <c r="H57" s="38">
        <f t="shared" si="24"/>
        <v>0</v>
      </c>
      <c r="I57" s="39">
        <f t="shared" si="24"/>
        <v>0</v>
      </c>
      <c r="J57" s="38">
        <f t="shared" si="24"/>
        <v>0</v>
      </c>
      <c r="K57" s="38">
        <f t="shared" si="24"/>
        <v>0</v>
      </c>
      <c r="L57" s="38">
        <f t="shared" si="24"/>
        <v>0</v>
      </c>
      <c r="M57" s="38">
        <f t="shared" si="24"/>
        <v>0</v>
      </c>
      <c r="N57" s="38">
        <f t="shared" si="24"/>
        <v>0</v>
      </c>
      <c r="O57" s="38">
        <f t="shared" si="24"/>
        <v>0</v>
      </c>
      <c r="P57" s="39">
        <f t="shared" si="24"/>
        <v>0</v>
      </c>
      <c r="Q57" s="40">
        <f t="shared" si="24"/>
        <v>0</v>
      </c>
    </row>
    <row r="58" spans="1:17" s="18" customFormat="1" ht="20.100000000000001" customHeight="1" thickBot="1">
      <c r="A58" s="62"/>
      <c r="B58" s="43" t="s">
        <v>11</v>
      </c>
      <c r="C58" s="44">
        <f t="shared" ref="C58:O58" si="25">C56/C55</f>
        <v>0</v>
      </c>
      <c r="D58" s="44">
        <f t="shared" si="25"/>
        <v>0</v>
      </c>
      <c r="E58" s="44">
        <f t="shared" si="25"/>
        <v>0</v>
      </c>
      <c r="F58" s="44">
        <f t="shared" si="25"/>
        <v>0</v>
      </c>
      <c r="G58" s="44">
        <f t="shared" si="25"/>
        <v>0</v>
      </c>
      <c r="H58" s="44">
        <f t="shared" si="25"/>
        <v>0</v>
      </c>
      <c r="I58" s="45">
        <f t="shared" si="25"/>
        <v>0</v>
      </c>
      <c r="J58" s="44">
        <f t="shared" si="25"/>
        <v>0</v>
      </c>
      <c r="K58" s="44">
        <f t="shared" si="25"/>
        <v>0</v>
      </c>
      <c r="L58" s="44">
        <f t="shared" si="25"/>
        <v>0</v>
      </c>
      <c r="M58" s="44">
        <f t="shared" si="25"/>
        <v>0</v>
      </c>
      <c r="N58" s="44">
        <f t="shared" si="25"/>
        <v>0</v>
      </c>
      <c r="O58" s="44">
        <f t="shared" si="25"/>
        <v>0</v>
      </c>
      <c r="P58" s="45">
        <f>P56/P55</f>
        <v>0</v>
      </c>
      <c r="Q58" s="46">
        <f>Q56/Q55</f>
        <v>0</v>
      </c>
    </row>
    <row r="59" spans="1:17" s="18" customFormat="1" ht="20.100000000000001" customHeight="1">
      <c r="A59" s="47" t="s">
        <v>20</v>
      </c>
      <c r="B59" s="48" t="s">
        <v>6</v>
      </c>
      <c r="C59" s="64">
        <v>32452</v>
      </c>
      <c r="D59" s="64">
        <v>6650</v>
      </c>
      <c r="E59" s="64">
        <v>14270</v>
      </c>
      <c r="F59" s="64">
        <v>3078</v>
      </c>
      <c r="G59" s="64">
        <v>3906</v>
      </c>
      <c r="H59" s="64">
        <v>43359</v>
      </c>
      <c r="I59" s="50">
        <f>C59+D59+E59+F59+G59+H59</f>
        <v>103715</v>
      </c>
      <c r="J59" s="64">
        <v>12000</v>
      </c>
      <c r="K59" s="64">
        <v>14000</v>
      </c>
      <c r="L59" s="64">
        <v>8000</v>
      </c>
      <c r="M59" s="64">
        <v>7000</v>
      </c>
      <c r="N59" s="64">
        <v>10000</v>
      </c>
      <c r="O59" s="64">
        <v>6000</v>
      </c>
      <c r="P59" s="50">
        <f>J59+K59+L59+M59+N59+O59</f>
        <v>57000</v>
      </c>
      <c r="Q59" s="51">
        <f>I59+P59</f>
        <v>160715</v>
      </c>
    </row>
    <row r="60" spans="1:17" s="24" customFormat="1" ht="20.100000000000001" customHeight="1">
      <c r="A60" s="19"/>
      <c r="B60" s="20" t="s">
        <v>7</v>
      </c>
      <c r="C60" s="21">
        <v>32452</v>
      </c>
      <c r="D60" s="21">
        <v>6650</v>
      </c>
      <c r="E60" s="21">
        <v>14270</v>
      </c>
      <c r="F60" s="21">
        <v>3078</v>
      </c>
      <c r="G60" s="21">
        <v>3906</v>
      </c>
      <c r="H60" s="21">
        <v>43359</v>
      </c>
      <c r="I60" s="22">
        <f>C60+D60+E60+F60+G60+H60</f>
        <v>103715</v>
      </c>
      <c r="J60" s="21">
        <v>11752</v>
      </c>
      <c r="K60" s="21">
        <v>1350</v>
      </c>
      <c r="L60" s="21">
        <v>2433</v>
      </c>
      <c r="M60" s="21">
        <v>3716</v>
      </c>
      <c r="N60" s="21">
        <v>3679</v>
      </c>
      <c r="O60" s="21">
        <v>5083</v>
      </c>
      <c r="P60" s="22">
        <f>J60+K60+L60+M60+N60+O60</f>
        <v>28013</v>
      </c>
      <c r="Q60" s="23">
        <f>I60+P60</f>
        <v>131728</v>
      </c>
    </row>
    <row r="61" spans="1:17" s="29" customFormat="1" ht="20.100000000000001" customHeight="1">
      <c r="A61" s="19"/>
      <c r="B61" s="25" t="s">
        <v>8</v>
      </c>
      <c r="C61" s="26">
        <v>12190</v>
      </c>
      <c r="D61" s="26">
        <v>12200</v>
      </c>
      <c r="E61" s="26">
        <v>12200</v>
      </c>
      <c r="F61" s="26">
        <v>12200</v>
      </c>
      <c r="G61" s="26">
        <v>12200</v>
      </c>
      <c r="H61" s="26">
        <v>12200</v>
      </c>
      <c r="I61" s="27">
        <f>C61+D61+E61+F61+G61+H61</f>
        <v>73190</v>
      </c>
      <c r="J61" s="26">
        <v>10000</v>
      </c>
      <c r="K61" s="26">
        <v>10000</v>
      </c>
      <c r="L61" s="26">
        <v>9000</v>
      </c>
      <c r="M61" s="26">
        <v>9000</v>
      </c>
      <c r="N61" s="26">
        <v>8810</v>
      </c>
      <c r="O61" s="26">
        <v>10000</v>
      </c>
      <c r="P61" s="27">
        <f>J61+K61+L61+M61+N61+O61</f>
        <v>56810</v>
      </c>
      <c r="Q61" s="28">
        <f>I61+P61</f>
        <v>130000</v>
      </c>
    </row>
    <row r="62" spans="1:17" s="18" customFormat="1" ht="20.100000000000001" customHeight="1">
      <c r="A62" s="19"/>
      <c r="B62" s="30" t="s">
        <v>9</v>
      </c>
      <c r="C62" s="31"/>
      <c r="D62" s="31"/>
      <c r="E62" s="31"/>
      <c r="F62" s="31"/>
      <c r="G62" s="31"/>
      <c r="H62" s="31"/>
      <c r="I62" s="33">
        <f>SUM(C62:H62)</f>
        <v>0</v>
      </c>
      <c r="J62" s="31"/>
      <c r="K62" s="31"/>
      <c r="L62" s="31"/>
      <c r="M62" s="31"/>
      <c r="N62" s="31"/>
      <c r="O62" s="31"/>
      <c r="P62" s="34">
        <f>SUM(J62:O62)</f>
        <v>0</v>
      </c>
      <c r="Q62" s="35">
        <f>I62+P62</f>
        <v>0</v>
      </c>
    </row>
    <row r="63" spans="1:17" s="61" customFormat="1" ht="20.100000000000001" customHeight="1">
      <c r="A63" s="19"/>
      <c r="B63" s="37" t="s">
        <v>10</v>
      </c>
      <c r="C63" s="38">
        <f t="shared" ref="C63:Q63" si="26">C62/C60</f>
        <v>0</v>
      </c>
      <c r="D63" s="38">
        <f t="shared" si="26"/>
        <v>0</v>
      </c>
      <c r="E63" s="38">
        <f t="shared" si="26"/>
        <v>0</v>
      </c>
      <c r="F63" s="38">
        <f t="shared" si="26"/>
        <v>0</v>
      </c>
      <c r="G63" s="38">
        <f t="shared" si="26"/>
        <v>0</v>
      </c>
      <c r="H63" s="38">
        <f t="shared" si="26"/>
        <v>0</v>
      </c>
      <c r="I63" s="39">
        <f t="shared" si="26"/>
        <v>0</v>
      </c>
      <c r="J63" s="38">
        <f t="shared" si="26"/>
        <v>0</v>
      </c>
      <c r="K63" s="38">
        <f t="shared" si="26"/>
        <v>0</v>
      </c>
      <c r="L63" s="38">
        <f t="shared" si="26"/>
        <v>0</v>
      </c>
      <c r="M63" s="38">
        <f t="shared" si="26"/>
        <v>0</v>
      </c>
      <c r="N63" s="38">
        <f t="shared" si="26"/>
        <v>0</v>
      </c>
      <c r="O63" s="38">
        <f t="shared" si="26"/>
        <v>0</v>
      </c>
      <c r="P63" s="39">
        <f t="shared" si="26"/>
        <v>0</v>
      </c>
      <c r="Q63" s="40">
        <f t="shared" si="26"/>
        <v>0</v>
      </c>
    </row>
    <row r="64" spans="1:17" s="18" customFormat="1" ht="20.100000000000001" customHeight="1" thickBot="1">
      <c r="A64" s="54"/>
      <c r="B64" s="55" t="s">
        <v>11</v>
      </c>
      <c r="C64" s="56">
        <f t="shared" ref="C64:O64" si="27">C62/C61</f>
        <v>0</v>
      </c>
      <c r="D64" s="56">
        <f t="shared" si="27"/>
        <v>0</v>
      </c>
      <c r="E64" s="56">
        <f t="shared" si="27"/>
        <v>0</v>
      </c>
      <c r="F64" s="56">
        <f t="shared" si="27"/>
        <v>0</v>
      </c>
      <c r="G64" s="56">
        <f t="shared" si="27"/>
        <v>0</v>
      </c>
      <c r="H64" s="56">
        <f t="shared" si="27"/>
        <v>0</v>
      </c>
      <c r="I64" s="57">
        <f t="shared" si="27"/>
        <v>0</v>
      </c>
      <c r="J64" s="56">
        <f t="shared" si="27"/>
        <v>0</v>
      </c>
      <c r="K64" s="56">
        <f t="shared" si="27"/>
        <v>0</v>
      </c>
      <c r="L64" s="56">
        <f t="shared" si="27"/>
        <v>0</v>
      </c>
      <c r="M64" s="56">
        <f t="shared" si="27"/>
        <v>0</v>
      </c>
      <c r="N64" s="56">
        <f t="shared" si="27"/>
        <v>0</v>
      </c>
      <c r="O64" s="56">
        <f t="shared" si="27"/>
        <v>0</v>
      </c>
      <c r="P64" s="57">
        <f>P62/P61</f>
        <v>0</v>
      </c>
      <c r="Q64" s="58">
        <f>Q62/Q61</f>
        <v>0</v>
      </c>
    </row>
    <row r="65" spans="1:17" s="18" customFormat="1" ht="20.100000000000001" customHeight="1">
      <c r="A65" s="13" t="s">
        <v>21</v>
      </c>
      <c r="B65" s="14" t="s">
        <v>6</v>
      </c>
      <c r="C65" s="91">
        <v>3196</v>
      </c>
      <c r="D65" s="91">
        <v>3365</v>
      </c>
      <c r="E65" s="91">
        <v>5770</v>
      </c>
      <c r="F65" s="91">
        <v>4042</v>
      </c>
      <c r="G65" s="91">
        <v>4292</v>
      </c>
      <c r="H65" s="91">
        <v>3557</v>
      </c>
      <c r="I65" s="16">
        <f>C65+D65+E65+F65+G65+H65</f>
        <v>24222</v>
      </c>
      <c r="J65" s="91">
        <v>5000</v>
      </c>
      <c r="K65" s="91">
        <v>5000</v>
      </c>
      <c r="L65" s="91">
        <v>5000</v>
      </c>
      <c r="M65" s="91">
        <v>5000</v>
      </c>
      <c r="N65" s="91">
        <v>5000</v>
      </c>
      <c r="O65" s="91">
        <v>5000</v>
      </c>
      <c r="P65" s="16">
        <f>J65+K65+L65+M65+N65+O65</f>
        <v>30000</v>
      </c>
      <c r="Q65" s="17">
        <f>I65+P65</f>
        <v>54222</v>
      </c>
    </row>
    <row r="66" spans="1:17" s="18" customFormat="1" ht="20.100000000000001" customHeight="1">
      <c r="A66" s="19"/>
      <c r="B66" s="20" t="s">
        <v>7</v>
      </c>
      <c r="C66" s="52">
        <v>3196</v>
      </c>
      <c r="D66" s="52">
        <v>3365</v>
      </c>
      <c r="E66" s="52">
        <v>5770</v>
      </c>
      <c r="F66" s="52">
        <v>4042</v>
      </c>
      <c r="G66" s="52">
        <v>4292</v>
      </c>
      <c r="H66" s="52">
        <v>3557</v>
      </c>
      <c r="I66" s="22">
        <f>C66+D66+E66+F66+G66+H66</f>
        <v>24222</v>
      </c>
      <c r="J66" s="52">
        <v>3969</v>
      </c>
      <c r="K66" s="52">
        <v>2776</v>
      </c>
      <c r="L66" s="52">
        <v>2352</v>
      </c>
      <c r="M66" s="52">
        <v>3561</v>
      </c>
      <c r="N66" s="52">
        <v>2312</v>
      </c>
      <c r="O66" s="52">
        <v>3066</v>
      </c>
      <c r="P66" s="22">
        <f>J66+K66+L66+M66+N66+O66</f>
        <v>18036</v>
      </c>
      <c r="Q66" s="23">
        <f>I66+P66</f>
        <v>42258</v>
      </c>
    </row>
    <row r="67" spans="1:17" s="18" customFormat="1" ht="20.100000000000001" customHeight="1">
      <c r="A67" s="19"/>
      <c r="B67" s="25" t="s">
        <v>8</v>
      </c>
      <c r="C67" s="26">
        <v>5165</v>
      </c>
      <c r="D67" s="26">
        <v>5000</v>
      </c>
      <c r="E67" s="26">
        <v>5200</v>
      </c>
      <c r="F67" s="26">
        <v>5200</v>
      </c>
      <c r="G67" s="26">
        <v>5200</v>
      </c>
      <c r="H67" s="26">
        <v>5200</v>
      </c>
      <c r="I67" s="27">
        <f>C67+D67+E67+F67+G67+H67</f>
        <v>30965</v>
      </c>
      <c r="J67" s="26">
        <v>4235</v>
      </c>
      <c r="K67" s="26">
        <v>4200</v>
      </c>
      <c r="L67" s="26">
        <v>4200</v>
      </c>
      <c r="M67" s="26">
        <v>3800</v>
      </c>
      <c r="N67" s="26">
        <v>3800</v>
      </c>
      <c r="O67" s="26">
        <v>3800</v>
      </c>
      <c r="P67" s="27">
        <f>J67+K67+L67+M67+N67+O67</f>
        <v>24035</v>
      </c>
      <c r="Q67" s="28">
        <f>I67+P67</f>
        <v>55000</v>
      </c>
    </row>
    <row r="68" spans="1:17" s="18" customFormat="1" ht="20.100000000000001" customHeight="1">
      <c r="A68" s="19"/>
      <c r="B68" s="30" t="s">
        <v>9</v>
      </c>
      <c r="C68" s="31"/>
      <c r="D68" s="31"/>
      <c r="E68" s="31"/>
      <c r="F68" s="31"/>
      <c r="G68" s="31"/>
      <c r="H68" s="31"/>
      <c r="I68" s="33">
        <f>SUM(C68:H68)</f>
        <v>0</v>
      </c>
      <c r="J68" s="31"/>
      <c r="K68" s="31"/>
      <c r="L68" s="31"/>
      <c r="M68" s="31"/>
      <c r="N68" s="31"/>
      <c r="O68" s="31"/>
      <c r="P68" s="34">
        <f>SUM(J68:O68)</f>
        <v>0</v>
      </c>
      <c r="Q68" s="35">
        <f>I68+P68</f>
        <v>0</v>
      </c>
    </row>
    <row r="69" spans="1:17" s="18" customFormat="1" ht="20.100000000000001" customHeight="1">
      <c r="A69" s="19"/>
      <c r="B69" s="37" t="s">
        <v>10</v>
      </c>
      <c r="C69" s="38">
        <f t="shared" ref="C69:Q69" si="28">C68/C66</f>
        <v>0</v>
      </c>
      <c r="D69" s="38">
        <f t="shared" si="28"/>
        <v>0</v>
      </c>
      <c r="E69" s="38">
        <f t="shared" si="28"/>
        <v>0</v>
      </c>
      <c r="F69" s="38">
        <f t="shared" si="28"/>
        <v>0</v>
      </c>
      <c r="G69" s="38">
        <f t="shared" si="28"/>
        <v>0</v>
      </c>
      <c r="H69" s="38">
        <f t="shared" si="28"/>
        <v>0</v>
      </c>
      <c r="I69" s="39">
        <f t="shared" si="28"/>
        <v>0</v>
      </c>
      <c r="J69" s="38">
        <f t="shared" si="28"/>
        <v>0</v>
      </c>
      <c r="K69" s="38">
        <f t="shared" si="28"/>
        <v>0</v>
      </c>
      <c r="L69" s="38">
        <f t="shared" si="28"/>
        <v>0</v>
      </c>
      <c r="M69" s="38">
        <f t="shared" si="28"/>
        <v>0</v>
      </c>
      <c r="N69" s="38">
        <f t="shared" si="28"/>
        <v>0</v>
      </c>
      <c r="O69" s="38">
        <f t="shared" si="28"/>
        <v>0</v>
      </c>
      <c r="P69" s="39">
        <f t="shared" si="28"/>
        <v>0</v>
      </c>
      <c r="Q69" s="40">
        <f t="shared" si="28"/>
        <v>0</v>
      </c>
    </row>
    <row r="70" spans="1:17" s="18" customFormat="1" ht="20.100000000000001" customHeight="1" thickBot="1">
      <c r="A70" s="65"/>
      <c r="B70" s="66" t="s">
        <v>11</v>
      </c>
      <c r="C70" s="67">
        <f t="shared" ref="C70:D70" si="29">C68/C67</f>
        <v>0</v>
      </c>
      <c r="D70" s="67">
        <f t="shared" si="29"/>
        <v>0</v>
      </c>
      <c r="E70" s="67">
        <f>E68/E67</f>
        <v>0</v>
      </c>
      <c r="F70" s="67">
        <f t="shared" ref="F70:O70" si="30">F68/F67</f>
        <v>0</v>
      </c>
      <c r="G70" s="67">
        <f t="shared" si="30"/>
        <v>0</v>
      </c>
      <c r="H70" s="67">
        <f t="shared" si="30"/>
        <v>0</v>
      </c>
      <c r="I70" s="68">
        <f t="shared" si="30"/>
        <v>0</v>
      </c>
      <c r="J70" s="67">
        <f t="shared" si="30"/>
        <v>0</v>
      </c>
      <c r="K70" s="67">
        <f t="shared" si="30"/>
        <v>0</v>
      </c>
      <c r="L70" s="67">
        <f t="shared" si="30"/>
        <v>0</v>
      </c>
      <c r="M70" s="67">
        <f t="shared" si="30"/>
        <v>0</v>
      </c>
      <c r="N70" s="67">
        <f t="shared" si="30"/>
        <v>0</v>
      </c>
      <c r="O70" s="67">
        <f t="shared" si="30"/>
        <v>0</v>
      </c>
      <c r="P70" s="68">
        <f>P68/P67</f>
        <v>0</v>
      </c>
      <c r="Q70" s="69">
        <f>Q68/Q67</f>
        <v>0</v>
      </c>
    </row>
    <row r="71" spans="1:17" s="72" customFormat="1" ht="20.100000000000001" customHeight="1" thickTop="1">
      <c r="A71" s="70" t="s">
        <v>22</v>
      </c>
      <c r="B71" s="71" t="s">
        <v>6</v>
      </c>
      <c r="C71" s="50">
        <f t="shared" ref="C71:H71" si="31">SUM(C65,C59,C53,C47,C41)</f>
        <v>43642</v>
      </c>
      <c r="D71" s="50">
        <f t="shared" si="31"/>
        <v>20980</v>
      </c>
      <c r="E71" s="50">
        <f t="shared" si="31"/>
        <v>35021</v>
      </c>
      <c r="F71" s="50">
        <f t="shared" si="31"/>
        <v>24291</v>
      </c>
      <c r="G71" s="50">
        <f t="shared" si="31"/>
        <v>23074</v>
      </c>
      <c r="H71" s="50">
        <f t="shared" si="31"/>
        <v>94797</v>
      </c>
      <c r="I71" s="50">
        <f>SUM(C71:H71)</f>
        <v>241805</v>
      </c>
      <c r="J71" s="50">
        <f t="shared" ref="J71:O71" si="32">SUM(J65,J59,J53,J47,J41)</f>
        <v>44000</v>
      </c>
      <c r="K71" s="50">
        <f t="shared" si="32"/>
        <v>44000</v>
      </c>
      <c r="L71" s="50">
        <f t="shared" si="32"/>
        <v>38500</v>
      </c>
      <c r="M71" s="50">
        <f t="shared" si="32"/>
        <v>36500</v>
      </c>
      <c r="N71" s="50">
        <f t="shared" si="32"/>
        <v>38500</v>
      </c>
      <c r="O71" s="50">
        <f t="shared" si="32"/>
        <v>35500</v>
      </c>
      <c r="P71" s="50">
        <f>SUM(J71:O71)</f>
        <v>237000</v>
      </c>
      <c r="Q71" s="51">
        <f>I71+P71</f>
        <v>478805</v>
      </c>
    </row>
    <row r="72" spans="1:17" s="77" customFormat="1" ht="20.100000000000001" customHeight="1">
      <c r="A72" s="73"/>
      <c r="B72" s="74" t="s">
        <v>7</v>
      </c>
      <c r="C72" s="75">
        <f t="shared" ref="C72:H72" si="33">SUM(C42,C48,C54,C60,C66)</f>
        <v>43638</v>
      </c>
      <c r="D72" s="75">
        <f t="shared" si="33"/>
        <v>20980</v>
      </c>
      <c r="E72" s="75">
        <f t="shared" si="33"/>
        <v>35021</v>
      </c>
      <c r="F72" s="75">
        <f t="shared" si="33"/>
        <v>24277</v>
      </c>
      <c r="G72" s="75">
        <f t="shared" si="33"/>
        <v>23073</v>
      </c>
      <c r="H72" s="75">
        <f t="shared" si="33"/>
        <v>94772</v>
      </c>
      <c r="I72" s="75">
        <f>SUM(C72:H72)</f>
        <v>241761</v>
      </c>
      <c r="J72" s="75">
        <f t="shared" ref="J72:O72" si="34">SUM(J42,J48,J54,J60,J66)</f>
        <v>43780</v>
      </c>
      <c r="K72" s="75">
        <f t="shared" si="34"/>
        <v>18843</v>
      </c>
      <c r="L72" s="75">
        <f t="shared" si="34"/>
        <v>24678</v>
      </c>
      <c r="M72" s="75">
        <f t="shared" si="34"/>
        <v>20184</v>
      </c>
      <c r="N72" s="75">
        <f t="shared" si="34"/>
        <v>19007</v>
      </c>
      <c r="O72" s="75">
        <f t="shared" si="34"/>
        <v>60722</v>
      </c>
      <c r="P72" s="75">
        <f>SUM(J72:O72)</f>
        <v>187214</v>
      </c>
      <c r="Q72" s="76">
        <f>I72+P72</f>
        <v>428975</v>
      </c>
    </row>
    <row r="73" spans="1:17" s="81" customFormat="1" ht="20.100000000000001" customHeight="1">
      <c r="A73" s="73"/>
      <c r="B73" s="78" t="s">
        <v>8</v>
      </c>
      <c r="C73" s="79">
        <f t="shared" ref="C73:H74" si="35">SUM(C67,C61,C55,C49,C43)</f>
        <v>39345</v>
      </c>
      <c r="D73" s="79">
        <f t="shared" si="35"/>
        <v>40950</v>
      </c>
      <c r="E73" s="79">
        <f t="shared" si="35"/>
        <v>41400</v>
      </c>
      <c r="F73" s="79">
        <f t="shared" si="35"/>
        <v>42200</v>
      </c>
      <c r="G73" s="79">
        <f t="shared" si="35"/>
        <v>42400</v>
      </c>
      <c r="H73" s="79">
        <f t="shared" si="35"/>
        <v>74200</v>
      </c>
      <c r="I73" s="79">
        <f>SUM(C73:H73)</f>
        <v>280495</v>
      </c>
      <c r="J73" s="79">
        <f t="shared" ref="J73:O74" si="36">SUM(J67,J61,J55,J49,J43)</f>
        <v>40035</v>
      </c>
      <c r="K73" s="79">
        <f t="shared" si="36"/>
        <v>40950</v>
      </c>
      <c r="L73" s="79">
        <f t="shared" si="36"/>
        <v>41000</v>
      </c>
      <c r="M73" s="79">
        <f t="shared" si="36"/>
        <v>30300</v>
      </c>
      <c r="N73" s="79">
        <f t="shared" si="36"/>
        <v>29920</v>
      </c>
      <c r="O73" s="79">
        <f t="shared" si="36"/>
        <v>32300</v>
      </c>
      <c r="P73" s="79">
        <f>SUM(J73:O73)</f>
        <v>214505</v>
      </c>
      <c r="Q73" s="80">
        <f>I73+P73</f>
        <v>495000</v>
      </c>
    </row>
    <row r="74" spans="1:17" s="84" customFormat="1" ht="20.100000000000001" customHeight="1">
      <c r="A74" s="73"/>
      <c r="B74" s="82" t="s">
        <v>9</v>
      </c>
      <c r="C74" s="34">
        <f t="shared" si="35"/>
        <v>0</v>
      </c>
      <c r="D74" s="34">
        <f t="shared" si="35"/>
        <v>0</v>
      </c>
      <c r="E74" s="34">
        <f t="shared" si="35"/>
        <v>0</v>
      </c>
      <c r="F74" s="34">
        <f t="shared" si="35"/>
        <v>0</v>
      </c>
      <c r="G74" s="34">
        <f t="shared" si="35"/>
        <v>0</v>
      </c>
      <c r="H74" s="34">
        <f t="shared" si="35"/>
        <v>0</v>
      </c>
      <c r="I74" s="34">
        <f>SUM(C74:H74)</f>
        <v>0</v>
      </c>
      <c r="J74" s="34">
        <f t="shared" si="36"/>
        <v>0</v>
      </c>
      <c r="K74" s="34">
        <f t="shared" si="36"/>
        <v>0</v>
      </c>
      <c r="L74" s="34">
        <f t="shared" si="36"/>
        <v>0</v>
      </c>
      <c r="M74" s="34">
        <f t="shared" si="36"/>
        <v>0</v>
      </c>
      <c r="N74" s="34">
        <f t="shared" si="36"/>
        <v>0</v>
      </c>
      <c r="O74" s="34">
        <f t="shared" si="36"/>
        <v>0</v>
      </c>
      <c r="P74" s="34">
        <f>SUM(J74:O74)</f>
        <v>0</v>
      </c>
      <c r="Q74" s="83">
        <f>I74+P74</f>
        <v>0</v>
      </c>
    </row>
    <row r="75" spans="1:17" s="61" customFormat="1" ht="20.100000000000001" customHeight="1">
      <c r="A75" s="73"/>
      <c r="B75" s="85" t="s">
        <v>10</v>
      </c>
      <c r="C75" s="39" t="e">
        <f t="shared" ref="C75:Q75" si="37">SUM(C45,C51,C57,C63,C69)</f>
        <v>#DIV/0!</v>
      </c>
      <c r="D75" s="39" t="e">
        <f t="shared" si="37"/>
        <v>#DIV/0!</v>
      </c>
      <c r="E75" s="39" t="e">
        <f t="shared" si="37"/>
        <v>#DIV/0!</v>
      </c>
      <c r="F75" s="39" t="e">
        <f t="shared" si="37"/>
        <v>#DIV/0!</v>
      </c>
      <c r="G75" s="39" t="e">
        <f t="shared" si="37"/>
        <v>#DIV/0!</v>
      </c>
      <c r="H75" s="39">
        <f t="shared" si="37"/>
        <v>0</v>
      </c>
      <c r="I75" s="39">
        <f t="shared" si="37"/>
        <v>0</v>
      </c>
      <c r="J75" s="39">
        <f t="shared" si="37"/>
        <v>0</v>
      </c>
      <c r="K75" s="39">
        <f t="shared" si="37"/>
        <v>0</v>
      </c>
      <c r="L75" s="39">
        <f t="shared" si="37"/>
        <v>0</v>
      </c>
      <c r="M75" s="39">
        <f t="shared" si="37"/>
        <v>0</v>
      </c>
      <c r="N75" s="39">
        <f t="shared" si="37"/>
        <v>0</v>
      </c>
      <c r="O75" s="39">
        <f t="shared" si="37"/>
        <v>0</v>
      </c>
      <c r="P75" s="39">
        <f t="shared" si="37"/>
        <v>0</v>
      </c>
      <c r="Q75" s="40">
        <f t="shared" si="37"/>
        <v>0</v>
      </c>
    </row>
    <row r="76" spans="1:17" s="18" customFormat="1" ht="20.100000000000001" customHeight="1" thickBot="1">
      <c r="A76" s="92"/>
      <c r="B76" s="93" t="s">
        <v>11</v>
      </c>
      <c r="C76" s="45">
        <f t="shared" ref="C76:Q76" si="38">SUM(C70,C64,C58,C52,C46,C39)</f>
        <v>0</v>
      </c>
      <c r="D76" s="45">
        <f t="shared" si="38"/>
        <v>0</v>
      </c>
      <c r="E76" s="45">
        <f t="shared" si="38"/>
        <v>0</v>
      </c>
      <c r="F76" s="45">
        <f t="shared" si="38"/>
        <v>0</v>
      </c>
      <c r="G76" s="45">
        <f t="shared" si="38"/>
        <v>0</v>
      </c>
      <c r="H76" s="45">
        <f t="shared" si="38"/>
        <v>0</v>
      </c>
      <c r="I76" s="45">
        <f t="shared" si="38"/>
        <v>0</v>
      </c>
      <c r="J76" s="45">
        <f t="shared" si="38"/>
        <v>0</v>
      </c>
      <c r="K76" s="45">
        <f t="shared" si="38"/>
        <v>0</v>
      </c>
      <c r="L76" s="45">
        <f t="shared" si="38"/>
        <v>0</v>
      </c>
      <c r="M76" s="45">
        <f t="shared" si="38"/>
        <v>0</v>
      </c>
      <c r="N76" s="45">
        <f t="shared" si="38"/>
        <v>0</v>
      </c>
      <c r="O76" s="45">
        <f t="shared" si="38"/>
        <v>0</v>
      </c>
      <c r="P76" s="45">
        <f t="shared" si="38"/>
        <v>0</v>
      </c>
      <c r="Q76" s="46">
        <f t="shared" si="38"/>
        <v>0</v>
      </c>
    </row>
    <row r="77" spans="1:17" s="18" customFormat="1" ht="20.100000000000001" customHeight="1" thickBot="1">
      <c r="A77" s="88"/>
      <c r="B77" s="89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</row>
    <row r="78" spans="1:17" ht="18">
      <c r="A78" s="94" t="s">
        <v>23</v>
      </c>
      <c r="B78" s="95" t="s">
        <v>6</v>
      </c>
      <c r="C78" s="96">
        <f t="shared" ref="C78:H79" si="39">C34+C71+C86+C92</f>
        <v>98059</v>
      </c>
      <c r="D78" s="96">
        <f t="shared" si="39"/>
        <v>66195</v>
      </c>
      <c r="E78" s="96">
        <f t="shared" si="39"/>
        <v>78089</v>
      </c>
      <c r="F78" s="96">
        <f t="shared" si="39"/>
        <v>67482</v>
      </c>
      <c r="G78" s="96">
        <f t="shared" si="39"/>
        <v>55529</v>
      </c>
      <c r="H78" s="96">
        <f t="shared" si="39"/>
        <v>145229</v>
      </c>
      <c r="I78" s="96">
        <f>SUM(C78:H78)</f>
        <v>510583</v>
      </c>
      <c r="J78" s="96">
        <f t="shared" ref="J78:O79" si="40">J34+J71+J86+J92</f>
        <v>94000</v>
      </c>
      <c r="K78" s="96">
        <f t="shared" si="40"/>
        <v>92000</v>
      </c>
      <c r="L78" s="96">
        <f t="shared" si="40"/>
        <v>87500</v>
      </c>
      <c r="M78" s="96">
        <f t="shared" si="40"/>
        <v>83500</v>
      </c>
      <c r="N78" s="96">
        <f t="shared" si="40"/>
        <v>84500</v>
      </c>
      <c r="O78" s="96">
        <f t="shared" si="40"/>
        <v>81500</v>
      </c>
      <c r="P78" s="96">
        <f>SUM(J78:O78)</f>
        <v>523000</v>
      </c>
      <c r="Q78" s="51">
        <f>I78+P78</f>
        <v>1033583</v>
      </c>
    </row>
    <row r="79" spans="1:17" ht="18">
      <c r="A79" s="97"/>
      <c r="B79" s="98" t="s">
        <v>7</v>
      </c>
      <c r="C79" s="99">
        <f t="shared" si="39"/>
        <v>98055</v>
      </c>
      <c r="D79" s="99">
        <f t="shared" si="39"/>
        <v>66195</v>
      </c>
      <c r="E79" s="99">
        <f t="shared" si="39"/>
        <v>78089</v>
      </c>
      <c r="F79" s="99">
        <f t="shared" si="39"/>
        <v>67468</v>
      </c>
      <c r="G79" s="99">
        <f t="shared" si="39"/>
        <v>55528</v>
      </c>
      <c r="H79" s="99">
        <f t="shared" si="39"/>
        <v>145204</v>
      </c>
      <c r="I79" s="99">
        <f>SUM(C79:H79)</f>
        <v>510539</v>
      </c>
      <c r="J79" s="99">
        <f t="shared" si="40"/>
        <v>91591</v>
      </c>
      <c r="K79" s="99">
        <f t="shared" si="40"/>
        <v>55987</v>
      </c>
      <c r="L79" s="99">
        <f t="shared" si="40"/>
        <v>67726</v>
      </c>
      <c r="M79" s="99">
        <f t="shared" si="40"/>
        <v>54213</v>
      </c>
      <c r="N79" s="99">
        <f t="shared" si="40"/>
        <v>44962</v>
      </c>
      <c r="O79" s="99">
        <f t="shared" si="40"/>
        <v>93798</v>
      </c>
      <c r="P79" s="99">
        <f>SUM(J79:O79)</f>
        <v>408277</v>
      </c>
      <c r="Q79" s="76">
        <f>I79+P79</f>
        <v>918816</v>
      </c>
    </row>
    <row r="80" spans="1:17" ht="18">
      <c r="A80" s="97"/>
      <c r="B80" s="100" t="s">
        <v>8</v>
      </c>
      <c r="C80" s="101">
        <f t="shared" ref="C80:H80" si="41">C73+C36+C88+C94</f>
        <v>93460</v>
      </c>
      <c r="D80" s="101">
        <f t="shared" si="41"/>
        <v>93950</v>
      </c>
      <c r="E80" s="101">
        <f t="shared" si="41"/>
        <v>92600</v>
      </c>
      <c r="F80" s="101">
        <f t="shared" si="41"/>
        <v>93400</v>
      </c>
      <c r="G80" s="101">
        <f t="shared" si="41"/>
        <v>94140</v>
      </c>
      <c r="H80" s="101">
        <f t="shared" si="41"/>
        <v>131040</v>
      </c>
      <c r="I80" s="101">
        <f>SUM(C80:H80)</f>
        <v>598590</v>
      </c>
      <c r="J80" s="101">
        <f t="shared" ref="J80:O80" si="42">J73+J36+J88+J94</f>
        <v>84770</v>
      </c>
      <c r="K80" s="101">
        <f t="shared" si="42"/>
        <v>85650</v>
      </c>
      <c r="L80" s="101">
        <f t="shared" si="42"/>
        <v>85250</v>
      </c>
      <c r="M80" s="101">
        <f t="shared" si="42"/>
        <v>67600</v>
      </c>
      <c r="N80" s="101">
        <f t="shared" si="42"/>
        <v>66510</v>
      </c>
      <c r="O80" s="101">
        <f t="shared" si="42"/>
        <v>71630</v>
      </c>
      <c r="P80" s="101">
        <f>SUM(J80:O80)</f>
        <v>461410</v>
      </c>
      <c r="Q80" s="80">
        <f>I80+P80</f>
        <v>1060000</v>
      </c>
    </row>
    <row r="81" spans="1:17" ht="18">
      <c r="A81" s="97"/>
      <c r="B81" s="102" t="s">
        <v>9</v>
      </c>
      <c r="C81" s="103">
        <f t="shared" ref="C81:H81" si="43">SUM(C74,C68,C62,C56,C50)</f>
        <v>0</v>
      </c>
      <c r="D81" s="103">
        <f t="shared" si="43"/>
        <v>0</v>
      </c>
      <c r="E81" s="103">
        <f t="shared" si="43"/>
        <v>0</v>
      </c>
      <c r="F81" s="103">
        <f t="shared" si="43"/>
        <v>0</v>
      </c>
      <c r="G81" s="103">
        <f t="shared" si="43"/>
        <v>0</v>
      </c>
      <c r="H81" s="103">
        <f t="shared" si="43"/>
        <v>0</v>
      </c>
      <c r="I81" s="103">
        <f>SUM(C81:H81)</f>
        <v>0</v>
      </c>
      <c r="J81" s="103">
        <f t="shared" ref="J81:O81" si="44">SUM(J74,J68,J62,J56,J50)</f>
        <v>0</v>
      </c>
      <c r="K81" s="103">
        <f t="shared" si="44"/>
        <v>0</v>
      </c>
      <c r="L81" s="103">
        <f t="shared" si="44"/>
        <v>0</v>
      </c>
      <c r="M81" s="103">
        <f t="shared" si="44"/>
        <v>0</v>
      </c>
      <c r="N81" s="103">
        <f t="shared" si="44"/>
        <v>0</v>
      </c>
      <c r="O81" s="103">
        <f t="shared" si="44"/>
        <v>0</v>
      </c>
      <c r="P81" s="103">
        <f>SUM(J81:O81)</f>
        <v>0</v>
      </c>
      <c r="Q81" s="83">
        <f>I81+P81</f>
        <v>0</v>
      </c>
    </row>
    <row r="82" spans="1:17" ht="18">
      <c r="A82" s="97"/>
      <c r="B82" s="104" t="s">
        <v>10</v>
      </c>
      <c r="C82" s="105" t="e">
        <f t="shared" ref="C82:Q82" si="45">SUM(C51,C57,C63,C69,C75)</f>
        <v>#DIV/0!</v>
      </c>
      <c r="D82" s="105" t="e">
        <f t="shared" si="45"/>
        <v>#DIV/0!</v>
      </c>
      <c r="E82" s="105" t="e">
        <f t="shared" si="45"/>
        <v>#DIV/0!</v>
      </c>
      <c r="F82" s="105" t="e">
        <f t="shared" si="45"/>
        <v>#DIV/0!</v>
      </c>
      <c r="G82" s="105" t="e">
        <f t="shared" si="45"/>
        <v>#DIV/0!</v>
      </c>
      <c r="H82" s="105">
        <f t="shared" si="45"/>
        <v>0</v>
      </c>
      <c r="I82" s="105">
        <f t="shared" si="45"/>
        <v>0</v>
      </c>
      <c r="J82" s="105">
        <f t="shared" si="45"/>
        <v>0</v>
      </c>
      <c r="K82" s="105">
        <f t="shared" si="45"/>
        <v>0</v>
      </c>
      <c r="L82" s="105">
        <f t="shared" si="45"/>
        <v>0</v>
      </c>
      <c r="M82" s="105">
        <f t="shared" si="45"/>
        <v>0</v>
      </c>
      <c r="N82" s="105">
        <f t="shared" si="45"/>
        <v>0</v>
      </c>
      <c r="O82" s="105">
        <f t="shared" si="45"/>
        <v>0</v>
      </c>
      <c r="P82" s="105">
        <f t="shared" si="45"/>
        <v>0</v>
      </c>
      <c r="Q82" s="40">
        <f t="shared" si="45"/>
        <v>0</v>
      </c>
    </row>
    <row r="83" spans="1:17" ht="18.75" thickBot="1">
      <c r="A83" s="106"/>
      <c r="B83" s="107" t="s">
        <v>11</v>
      </c>
      <c r="C83" s="108">
        <f t="shared" ref="C83:Q83" si="46">SUM(C76,C70,C64,C58,C52,C46)</f>
        <v>0</v>
      </c>
      <c r="D83" s="108">
        <f t="shared" si="46"/>
        <v>0</v>
      </c>
      <c r="E83" s="108">
        <f t="shared" si="46"/>
        <v>0</v>
      </c>
      <c r="F83" s="108">
        <f t="shared" si="46"/>
        <v>0</v>
      </c>
      <c r="G83" s="108">
        <f t="shared" si="46"/>
        <v>0</v>
      </c>
      <c r="H83" s="108">
        <f t="shared" si="46"/>
        <v>0</v>
      </c>
      <c r="I83" s="108">
        <f t="shared" si="46"/>
        <v>0</v>
      </c>
      <c r="J83" s="108">
        <f t="shared" si="46"/>
        <v>0</v>
      </c>
      <c r="K83" s="108">
        <f t="shared" si="46"/>
        <v>0</v>
      </c>
      <c r="L83" s="108">
        <f t="shared" si="46"/>
        <v>0</v>
      </c>
      <c r="M83" s="108">
        <f t="shared" si="46"/>
        <v>0</v>
      </c>
      <c r="N83" s="108">
        <f t="shared" si="46"/>
        <v>0</v>
      </c>
      <c r="O83" s="108">
        <f t="shared" si="46"/>
        <v>0</v>
      </c>
      <c r="P83" s="108">
        <f t="shared" si="46"/>
        <v>0</v>
      </c>
      <c r="Q83" s="46">
        <f t="shared" si="46"/>
        <v>0</v>
      </c>
    </row>
    <row r="85" spans="1:17" ht="16.5" thickBot="1"/>
    <row r="86" spans="1:17" ht="18">
      <c r="A86" s="109" t="s">
        <v>24</v>
      </c>
      <c r="B86" s="110" t="s">
        <v>6</v>
      </c>
      <c r="C86" s="111">
        <v>10869</v>
      </c>
      <c r="D86" s="111">
        <v>9861</v>
      </c>
      <c r="E86" s="112">
        <v>2026</v>
      </c>
      <c r="F86" s="111">
        <v>0</v>
      </c>
      <c r="G86" s="111">
        <v>0</v>
      </c>
      <c r="H86" s="111">
        <v>0</v>
      </c>
      <c r="I86" s="113">
        <f>C86+D86+E86+F86+G86+H86</f>
        <v>22756</v>
      </c>
      <c r="J86" s="112"/>
      <c r="K86" s="111"/>
      <c r="L86" s="112"/>
      <c r="M86" s="111"/>
      <c r="N86" s="112"/>
      <c r="O86" s="114"/>
      <c r="P86" s="113">
        <f>J86+K86+L86+M86+N86+O86</f>
        <v>0</v>
      </c>
      <c r="Q86" s="115">
        <f>I86+P86</f>
        <v>22756</v>
      </c>
    </row>
    <row r="87" spans="1:17" ht="18">
      <c r="A87" s="116"/>
      <c r="B87" s="117" t="s">
        <v>7</v>
      </c>
      <c r="C87" s="118">
        <v>10869</v>
      </c>
      <c r="D87" s="118">
        <v>9861</v>
      </c>
      <c r="E87" s="119">
        <v>2026</v>
      </c>
      <c r="F87" s="118">
        <v>0</v>
      </c>
      <c r="G87" s="118">
        <v>0</v>
      </c>
      <c r="H87" s="118">
        <v>0</v>
      </c>
      <c r="I87" s="120">
        <f>C87+D87+E87+F87+G87+H87</f>
        <v>22756</v>
      </c>
      <c r="J87" s="119">
        <v>0</v>
      </c>
      <c r="K87" s="118">
        <v>0</v>
      </c>
      <c r="L87" s="119">
        <v>0</v>
      </c>
      <c r="M87" s="118">
        <v>-2</v>
      </c>
      <c r="N87" s="119">
        <v>0</v>
      </c>
      <c r="O87" s="121">
        <v>0</v>
      </c>
      <c r="P87" s="120">
        <f>J87+K87+L87+M87+N87+O87</f>
        <v>-2</v>
      </c>
      <c r="Q87" s="122">
        <f>I87+P87</f>
        <v>22754</v>
      </c>
    </row>
    <row r="88" spans="1:17" ht="18">
      <c r="A88" s="116"/>
      <c r="B88" s="123" t="s">
        <v>8</v>
      </c>
      <c r="C88" s="124"/>
      <c r="D88" s="124"/>
      <c r="E88" s="125"/>
      <c r="F88" s="124"/>
      <c r="G88" s="124"/>
      <c r="H88" s="124"/>
      <c r="I88" s="126">
        <f>C88+D88+E88+F88+G88+H88</f>
        <v>0</v>
      </c>
      <c r="J88" s="127"/>
      <c r="K88" s="124"/>
      <c r="L88" s="125"/>
      <c r="M88" s="124"/>
      <c r="N88" s="125"/>
      <c r="O88" s="127"/>
      <c r="P88" s="126">
        <f>J88+K88+L88+M88+N88+O88</f>
        <v>0</v>
      </c>
      <c r="Q88" s="128">
        <f>I88+P88</f>
        <v>0</v>
      </c>
    </row>
    <row r="89" spans="1:17" ht="18">
      <c r="A89" s="116"/>
      <c r="B89" s="129" t="s">
        <v>9</v>
      </c>
      <c r="C89" s="130"/>
      <c r="D89" s="130"/>
      <c r="E89" s="131"/>
      <c r="F89" s="132"/>
      <c r="G89" s="130"/>
      <c r="H89" s="130"/>
      <c r="I89" s="133">
        <f>SUM(C89:H89)</f>
        <v>0</v>
      </c>
      <c r="J89" s="131"/>
      <c r="K89" s="130"/>
      <c r="L89" s="131"/>
      <c r="M89" s="130"/>
      <c r="N89" s="131"/>
      <c r="O89" s="134"/>
      <c r="P89" s="135">
        <f>SUM(J89:O89)</f>
        <v>0</v>
      </c>
      <c r="Q89" s="136">
        <f>I89+P89</f>
        <v>0</v>
      </c>
    </row>
    <row r="90" spans="1:17" ht="18">
      <c r="A90" s="116"/>
      <c r="B90" s="137" t="s">
        <v>10</v>
      </c>
      <c r="C90" s="138">
        <f t="shared" ref="C90:Q90" si="47">C89/C87</f>
        <v>0</v>
      </c>
      <c r="D90" s="139">
        <f t="shared" si="47"/>
        <v>0</v>
      </c>
      <c r="E90" s="138">
        <f t="shared" si="47"/>
        <v>0</v>
      </c>
      <c r="F90" s="138" t="e">
        <f t="shared" si="47"/>
        <v>#DIV/0!</v>
      </c>
      <c r="G90" s="138" t="e">
        <f t="shared" si="47"/>
        <v>#DIV/0!</v>
      </c>
      <c r="H90" s="138" t="e">
        <f t="shared" si="47"/>
        <v>#DIV/0!</v>
      </c>
      <c r="I90" s="140">
        <f t="shared" si="47"/>
        <v>0</v>
      </c>
      <c r="J90" s="138" t="e">
        <f t="shared" si="47"/>
        <v>#DIV/0!</v>
      </c>
      <c r="K90" s="139" t="e">
        <f t="shared" si="47"/>
        <v>#DIV/0!</v>
      </c>
      <c r="L90" s="138" t="e">
        <f t="shared" si="47"/>
        <v>#DIV/0!</v>
      </c>
      <c r="M90" s="139">
        <f t="shared" si="47"/>
        <v>0</v>
      </c>
      <c r="N90" s="138" t="e">
        <f t="shared" si="47"/>
        <v>#DIV/0!</v>
      </c>
      <c r="O90" s="141" t="e">
        <f t="shared" si="47"/>
        <v>#DIV/0!</v>
      </c>
      <c r="P90" s="140">
        <f t="shared" si="47"/>
        <v>0</v>
      </c>
      <c r="Q90" s="142">
        <f t="shared" si="47"/>
        <v>0</v>
      </c>
    </row>
    <row r="91" spans="1:17" ht="18.75" thickBot="1">
      <c r="A91" s="143"/>
      <c r="B91" s="144" t="s">
        <v>11</v>
      </c>
      <c r="C91" s="145" t="e">
        <f t="shared" ref="C91:O91" si="48">C89/C88</f>
        <v>#DIV/0!</v>
      </c>
      <c r="D91" s="146" t="e">
        <f t="shared" si="48"/>
        <v>#DIV/0!</v>
      </c>
      <c r="E91" s="145" t="e">
        <f t="shared" si="48"/>
        <v>#DIV/0!</v>
      </c>
      <c r="F91" s="145" t="e">
        <f t="shared" si="48"/>
        <v>#DIV/0!</v>
      </c>
      <c r="G91" s="145" t="e">
        <f t="shared" si="48"/>
        <v>#DIV/0!</v>
      </c>
      <c r="H91" s="145" t="e">
        <f t="shared" si="48"/>
        <v>#DIV/0!</v>
      </c>
      <c r="I91" s="147" t="e">
        <f t="shared" si="48"/>
        <v>#DIV/0!</v>
      </c>
      <c r="J91" s="145" t="e">
        <f t="shared" si="48"/>
        <v>#DIV/0!</v>
      </c>
      <c r="K91" s="146" t="e">
        <f t="shared" si="48"/>
        <v>#DIV/0!</v>
      </c>
      <c r="L91" s="145" t="e">
        <f t="shared" si="48"/>
        <v>#DIV/0!</v>
      </c>
      <c r="M91" s="146" t="e">
        <f t="shared" si="48"/>
        <v>#DIV/0!</v>
      </c>
      <c r="N91" s="145" t="e">
        <f t="shared" si="48"/>
        <v>#DIV/0!</v>
      </c>
      <c r="O91" s="148" t="e">
        <f t="shared" si="48"/>
        <v>#DIV/0!</v>
      </c>
      <c r="P91" s="147" t="e">
        <f>P89/P88</f>
        <v>#DIV/0!</v>
      </c>
      <c r="Q91" s="149" t="e">
        <f>Q89/Q88</f>
        <v>#DIV/0!</v>
      </c>
    </row>
    <row r="92" spans="1:17" ht="18">
      <c r="A92" s="150" t="s">
        <v>25</v>
      </c>
      <c r="B92" s="151" t="s">
        <v>6</v>
      </c>
      <c r="C92" s="152">
        <v>355</v>
      </c>
      <c r="D92" s="152">
        <v>0</v>
      </c>
      <c r="E92" s="153">
        <v>0</v>
      </c>
      <c r="F92" s="152">
        <v>0</v>
      </c>
      <c r="G92" s="152">
        <v>0</v>
      </c>
      <c r="H92" s="152">
        <v>0</v>
      </c>
      <c r="I92" s="154">
        <f>C92+D92+E92+F92+G92+H92</f>
        <v>355</v>
      </c>
      <c r="J92" s="153"/>
      <c r="K92" s="152"/>
      <c r="L92" s="153"/>
      <c r="M92" s="152"/>
      <c r="N92" s="153"/>
      <c r="O92" s="155"/>
      <c r="P92" s="156">
        <f>J92+K92+L92+M92+N92+O92</f>
        <v>0</v>
      </c>
      <c r="Q92" s="157">
        <f>I92+P92</f>
        <v>355</v>
      </c>
    </row>
    <row r="93" spans="1:17" ht="18">
      <c r="A93" s="116"/>
      <c r="B93" s="117" t="s">
        <v>7</v>
      </c>
      <c r="C93" s="118">
        <v>355</v>
      </c>
      <c r="D93" s="118">
        <v>0</v>
      </c>
      <c r="E93" s="119">
        <v>0</v>
      </c>
      <c r="F93" s="118">
        <v>0</v>
      </c>
      <c r="G93" s="118">
        <v>0</v>
      </c>
      <c r="H93" s="118">
        <v>0</v>
      </c>
      <c r="I93" s="120">
        <f>C93+D93+E93+F93+G93+H93</f>
        <v>355</v>
      </c>
      <c r="J93" s="119">
        <v>0</v>
      </c>
      <c r="K93" s="118">
        <v>0</v>
      </c>
      <c r="L93" s="118">
        <v>0</v>
      </c>
      <c r="M93" s="118">
        <v>0</v>
      </c>
      <c r="N93" s="119">
        <v>191</v>
      </c>
      <c r="O93" s="121">
        <v>0</v>
      </c>
      <c r="P93" s="120">
        <f>J93+K93+L93+M93+N93+O93</f>
        <v>191</v>
      </c>
      <c r="Q93" s="122">
        <f>I93+P93</f>
        <v>546</v>
      </c>
    </row>
    <row r="94" spans="1:17" ht="18">
      <c r="A94" s="116"/>
      <c r="B94" s="123" t="s">
        <v>8</v>
      </c>
      <c r="C94" s="124"/>
      <c r="D94" s="124"/>
      <c r="E94" s="125"/>
      <c r="F94" s="124"/>
      <c r="G94" s="124"/>
      <c r="H94" s="124"/>
      <c r="I94" s="126">
        <f>C94+D94+E94+F94+G94+H94</f>
        <v>0</v>
      </c>
      <c r="J94" s="127"/>
      <c r="K94" s="124"/>
      <c r="L94" s="125"/>
      <c r="M94" s="124"/>
      <c r="N94" s="125"/>
      <c r="O94" s="127"/>
      <c r="P94" s="126">
        <f>J94+K94+L94+M94+N94+O94</f>
        <v>0</v>
      </c>
      <c r="Q94" s="128">
        <f>I94+P94</f>
        <v>0</v>
      </c>
    </row>
    <row r="95" spans="1:17" ht="18">
      <c r="A95" s="116"/>
      <c r="B95" s="129" t="s">
        <v>9</v>
      </c>
      <c r="C95" s="130"/>
      <c r="D95" s="130"/>
      <c r="E95" s="131"/>
      <c r="F95" s="132"/>
      <c r="G95" s="130"/>
      <c r="H95" s="130"/>
      <c r="I95" s="133">
        <f>SUM(C95:H95)</f>
        <v>0</v>
      </c>
      <c r="J95" s="131"/>
      <c r="K95" s="130"/>
      <c r="L95" s="131"/>
      <c r="M95" s="130"/>
      <c r="N95" s="131"/>
      <c r="O95" s="134"/>
      <c r="P95" s="135">
        <f>SUM(J95:O95)</f>
        <v>0</v>
      </c>
      <c r="Q95" s="136">
        <f>I95+P95</f>
        <v>0</v>
      </c>
    </row>
    <row r="96" spans="1:17" ht="18">
      <c r="A96" s="116"/>
      <c r="B96" s="137" t="s">
        <v>10</v>
      </c>
      <c r="C96" s="138">
        <f t="shared" ref="C96:Q96" si="49">C95/C93</f>
        <v>0</v>
      </c>
      <c r="D96" s="139" t="e">
        <f t="shared" si="49"/>
        <v>#DIV/0!</v>
      </c>
      <c r="E96" s="138" t="e">
        <f t="shared" si="49"/>
        <v>#DIV/0!</v>
      </c>
      <c r="F96" s="138" t="e">
        <f t="shared" si="49"/>
        <v>#DIV/0!</v>
      </c>
      <c r="G96" s="138" t="e">
        <f t="shared" si="49"/>
        <v>#DIV/0!</v>
      </c>
      <c r="H96" s="138" t="e">
        <f t="shared" si="49"/>
        <v>#DIV/0!</v>
      </c>
      <c r="I96" s="140">
        <f t="shared" si="49"/>
        <v>0</v>
      </c>
      <c r="J96" s="138" t="e">
        <f t="shared" si="49"/>
        <v>#DIV/0!</v>
      </c>
      <c r="K96" s="139" t="e">
        <f t="shared" si="49"/>
        <v>#DIV/0!</v>
      </c>
      <c r="L96" s="138" t="e">
        <f t="shared" si="49"/>
        <v>#DIV/0!</v>
      </c>
      <c r="M96" s="139" t="e">
        <f t="shared" si="49"/>
        <v>#DIV/0!</v>
      </c>
      <c r="N96" s="138">
        <f t="shared" si="49"/>
        <v>0</v>
      </c>
      <c r="O96" s="141" t="e">
        <f t="shared" si="49"/>
        <v>#DIV/0!</v>
      </c>
      <c r="P96" s="140">
        <f t="shared" si="49"/>
        <v>0</v>
      </c>
      <c r="Q96" s="142">
        <f t="shared" si="49"/>
        <v>0</v>
      </c>
    </row>
    <row r="97" spans="1:17" ht="18.75" thickBot="1">
      <c r="A97" s="143"/>
      <c r="B97" s="144" t="s">
        <v>11</v>
      </c>
      <c r="C97" s="145" t="e">
        <f t="shared" ref="C97:O97" si="50">C95/C94</f>
        <v>#DIV/0!</v>
      </c>
      <c r="D97" s="146" t="e">
        <f t="shared" si="50"/>
        <v>#DIV/0!</v>
      </c>
      <c r="E97" s="145" t="e">
        <f t="shared" si="50"/>
        <v>#DIV/0!</v>
      </c>
      <c r="F97" s="145" t="e">
        <f t="shared" si="50"/>
        <v>#DIV/0!</v>
      </c>
      <c r="G97" s="145" t="e">
        <f t="shared" si="50"/>
        <v>#DIV/0!</v>
      </c>
      <c r="H97" s="145" t="e">
        <f t="shared" si="50"/>
        <v>#DIV/0!</v>
      </c>
      <c r="I97" s="147" t="e">
        <f t="shared" si="50"/>
        <v>#DIV/0!</v>
      </c>
      <c r="J97" s="145" t="e">
        <f t="shared" si="50"/>
        <v>#DIV/0!</v>
      </c>
      <c r="K97" s="146" t="e">
        <f t="shared" si="50"/>
        <v>#DIV/0!</v>
      </c>
      <c r="L97" s="145" t="e">
        <f t="shared" si="50"/>
        <v>#DIV/0!</v>
      </c>
      <c r="M97" s="146" t="e">
        <f t="shared" si="50"/>
        <v>#DIV/0!</v>
      </c>
      <c r="N97" s="145" t="e">
        <f t="shared" si="50"/>
        <v>#DIV/0!</v>
      </c>
      <c r="O97" s="148" t="e">
        <f t="shared" si="50"/>
        <v>#DIV/0!</v>
      </c>
      <c r="P97" s="147" t="e">
        <f>P95/P94</f>
        <v>#DIV/0!</v>
      </c>
      <c r="Q97" s="149" t="e">
        <f>Q95/Q94</f>
        <v>#DIV/0!</v>
      </c>
    </row>
  </sheetData>
  <mergeCells count="16">
    <mergeCell ref="A71:A76"/>
    <mergeCell ref="A78:A83"/>
    <mergeCell ref="A86:A91"/>
    <mergeCell ref="A92:A97"/>
    <mergeCell ref="A34:A39"/>
    <mergeCell ref="A41:A46"/>
    <mergeCell ref="A47:A52"/>
    <mergeCell ref="A53:A58"/>
    <mergeCell ref="A59:A64"/>
    <mergeCell ref="A65:A70"/>
    <mergeCell ref="A3:B3"/>
    <mergeCell ref="A4:A9"/>
    <mergeCell ref="A10:A15"/>
    <mergeCell ref="A16:A21"/>
    <mergeCell ref="A22:A27"/>
    <mergeCell ref="A28:A33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水原パソコンNEW</dc:creator>
  <cp:lastModifiedBy>パソコンNEW 水原</cp:lastModifiedBy>
  <dcterms:created xsi:type="dcterms:W3CDTF">2015-06-05T18:19:34Z</dcterms:created>
  <dcterms:modified xsi:type="dcterms:W3CDTF">2026-10-30T07:44:47Z</dcterms:modified>
</cp:coreProperties>
</file>